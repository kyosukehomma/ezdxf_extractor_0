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本間京介\projects\juudan_to_kikakouzou_ippan_extracter - dev\template\"/>
    </mc:Choice>
  </mc:AlternateContent>
  <xr:revisionPtr revIDLastSave="0" documentId="13_ncr:1_{4CB57BEF-8D81-4C99-BD48-E4ACB412489F}" xr6:coauthVersionLast="47" xr6:coauthVersionMax="47" xr10:uidLastSave="{00000000-0000-0000-0000-000000000000}"/>
  <bookViews>
    <workbookView xWindow="28695" yWindow="-3525" windowWidth="19410" windowHeight="15585" xr2:uid="{00000000-000D-0000-FFFF-FFFF00000000}"/>
  </bookViews>
  <sheets>
    <sheet name="幾何構造表" sheetId="1" r:id="rId1"/>
    <sheet name="使用値" sheetId="2" r:id="rId2"/>
    <sheet name="デー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" l="1"/>
  <c r="Y24" i="1"/>
  <c r="Y23" i="1"/>
  <c r="Y21" i="1"/>
  <c r="Y19" i="1"/>
  <c r="Y15" i="1"/>
  <c r="Y13" i="1"/>
  <c r="Y11" i="1"/>
  <c r="Y9" i="1"/>
  <c r="Y8" i="1"/>
  <c r="Y6" i="1"/>
  <c r="U25" i="1"/>
  <c r="U24" i="1"/>
  <c r="U23" i="1"/>
  <c r="U21" i="1"/>
  <c r="U19" i="1"/>
  <c r="U18" i="1"/>
  <c r="U17" i="1"/>
  <c r="Y16" i="1"/>
  <c r="U16" i="1"/>
  <c r="U15" i="1"/>
  <c r="U13" i="1"/>
  <c r="U11" i="1"/>
  <c r="U9" i="1"/>
  <c r="U8" i="1"/>
  <c r="U6" i="1"/>
  <c r="O16" i="1"/>
  <c r="AJ32" i="1"/>
  <c r="AF32" i="1"/>
  <c r="AB32" i="1"/>
  <c r="X32" i="1"/>
  <c r="T32" i="1"/>
  <c r="P32" i="1"/>
  <c r="L32" i="1"/>
  <c r="H32" i="1"/>
  <c r="D32" i="1"/>
  <c r="AJ30" i="1"/>
  <c r="AF30" i="1"/>
  <c r="AB30" i="1"/>
  <c r="X30" i="1"/>
  <c r="T30" i="1"/>
  <c r="P30" i="1"/>
  <c r="L30" i="1"/>
  <c r="H30" i="1"/>
  <c r="D30" i="1"/>
  <c r="O25" i="1"/>
  <c r="I25" i="1"/>
  <c r="I24" i="1"/>
  <c r="I23" i="1"/>
  <c r="I22" i="1"/>
  <c r="I21" i="1"/>
  <c r="I20" i="1"/>
  <c r="I19" i="1"/>
  <c r="Q18" i="1"/>
  <c r="M18" i="1"/>
  <c r="I18" i="1"/>
  <c r="Q17" i="1"/>
  <c r="M17" i="1"/>
  <c r="I17" i="1"/>
  <c r="I16" i="1"/>
  <c r="I15" i="1"/>
  <c r="I14" i="1"/>
  <c r="I13" i="1"/>
  <c r="I12" i="1"/>
  <c r="I11" i="1"/>
  <c r="O9" i="1"/>
  <c r="I9" i="1"/>
  <c r="I8" i="1"/>
  <c r="O7" i="1"/>
  <c r="I7" i="1"/>
  <c r="I6" i="1"/>
</calcChain>
</file>

<file path=xl/sharedStrings.xml><?xml version="1.0" encoding="utf-8"?>
<sst xmlns="http://schemas.openxmlformats.org/spreadsheetml/2006/main" count="145" uniqueCount="105">
  <si>
    <t>幾何構造</t>
  </si>
  <si>
    <t>(設計速度V=</t>
  </si>
  <si>
    <t>km/h)</t>
  </si>
  <si>
    <t>項目</t>
  </si>
  <si>
    <t>単位</t>
  </si>
  <si>
    <t>標準値</t>
  </si>
  <si>
    <t>特例値</t>
  </si>
  <si>
    <t>使用値</t>
  </si>
  <si>
    <t>判定</t>
  </si>
  <si>
    <t>備考</t>
  </si>
  <si>
    <t>最小曲線半径</t>
  </si>
  <si>
    <t>m</t>
  </si>
  <si>
    <t>（  ）内は望ましい値</t>
  </si>
  <si>
    <t>最小緩和曲線長</t>
  </si>
  <si>
    <t>〃</t>
  </si>
  <si>
    <t>緩和曲線を省略</t>
  </si>
  <si>
    <t>出来る曲線半径</t>
  </si>
  <si>
    <t>最小曲線長</t>
  </si>
  <si>
    <t>( )内は交角が7°未満の場合</t>
  </si>
  <si>
    <t>なお、2°未満は2°とする</t>
  </si>
  <si>
    <t>片勾配打切半径</t>
  </si>
  <si>
    <t>（  ）内は1.5%</t>
  </si>
  <si>
    <t>直線部片勾配2.0%</t>
  </si>
  <si>
    <t>片勾配摺付率</t>
  </si>
  <si>
    <t>最急縦断勾配</t>
  </si>
  <si>
    <t>%</t>
  </si>
  <si>
    <t>(  )内は第4種の道路の場合</t>
  </si>
  <si>
    <t>特例値の縦断勾配を</t>
  </si>
  <si>
    <t>-</t>
  </si>
  <si>
    <t>使用した際の制限長</t>
  </si>
  <si>
    <t>縦断曲線          半径</t>
  </si>
  <si>
    <t>凸</t>
  </si>
  <si>
    <t>凹</t>
  </si>
  <si>
    <t>縦断曲線長</t>
  </si>
  <si>
    <t>視距</t>
  </si>
  <si>
    <t>合成勾配</t>
  </si>
  <si>
    <t>曲線半径と片勾配の値</t>
  </si>
  <si>
    <t>片勾配の値(%)</t>
  </si>
  <si>
    <t>曲線半径(m)</t>
  </si>
  <si>
    <t>第1、2、3種で積雪寒冷のはなはだしい地域は6%、積雪寒冷地は8%、その他の地域は10%、第3種で自転車道等を設置しない道路及び第4種の道路においては6%を最大片勾配とする。</t>
  </si>
  <si>
    <t xml:space="preserve">曲線半径と拡幅量(1車線当たり) </t>
  </si>
  <si>
    <t>拡幅量(m)</t>
  </si>
  <si>
    <t>90以上</t>
  </si>
  <si>
    <t>60以上</t>
  </si>
  <si>
    <t>45以上</t>
  </si>
  <si>
    <t>32以上</t>
  </si>
  <si>
    <t>26以上</t>
  </si>
  <si>
    <t>21以上</t>
  </si>
  <si>
    <t>19以上</t>
  </si>
  <si>
    <t>16以上</t>
  </si>
  <si>
    <t>15以上</t>
  </si>
  <si>
    <t>(150)</t>
  </si>
  <si>
    <t>(100)</t>
  </si>
  <si>
    <t xml:space="preserve">( 70) </t>
  </si>
  <si>
    <t xml:space="preserve">( 50) </t>
  </si>
  <si>
    <t>160未満</t>
  </si>
  <si>
    <t>90未満</t>
  </si>
  <si>
    <t>60未満</t>
  </si>
  <si>
    <t>45未満</t>
  </si>
  <si>
    <t>32未満</t>
  </si>
  <si>
    <t>26未満</t>
  </si>
  <si>
    <t>21未満</t>
  </si>
  <si>
    <t>19未満</t>
  </si>
  <si>
    <t>16未満</t>
  </si>
  <si>
    <t>(280)</t>
  </si>
  <si>
    <t>（  ）内は第1種、第2種、第3種1級、第4種1級の値を示す。</t>
  </si>
  <si>
    <t>緩和曲線を省略出来る曲線半径</t>
  </si>
  <si>
    <t>最小曲線長（設計速度80km/h未満）</t>
  </si>
  <si>
    <t>最小曲線長（設計速度80km/h以上）</t>
  </si>
  <si>
    <t>特例値の縦断勾配を使用した際の制限長%</t>
  </si>
  <si>
    <t>特例値の縦断勾配を使用した際の制限長m</t>
  </si>
  <si>
    <t>縦断曲線半径凸</t>
  </si>
  <si>
    <t>縦断曲線半径凹</t>
  </si>
  <si>
    <t>設計速度</t>
  </si>
  <si>
    <t>最小曲線半径（望ましい値)</t>
  </si>
  <si>
    <t>最小曲線半径（標準値)</t>
  </si>
  <si>
    <t>最小曲線半径（特例値)</t>
  </si>
  <si>
    <t>最小緩和曲線</t>
  </si>
  <si>
    <t>緩和曲線省略可能な曲線半径（標準値）</t>
  </si>
  <si>
    <t>緩和曲線省略可能な曲線半径（特例値）</t>
  </si>
  <si>
    <t>最小曲線長(7°未満)</t>
  </si>
  <si>
    <t>最小曲線長(7°以上)</t>
  </si>
  <si>
    <t>片勾配打ち切り半径(1.5％)</t>
  </si>
  <si>
    <t>片勾配打ち切り半径(2.0％)</t>
  </si>
  <si>
    <t>片勾配すりつけ率</t>
  </si>
  <si>
    <t>最急縦断勾配(標準値)</t>
  </si>
  <si>
    <t>最急縦断勾配(特例値)</t>
  </si>
  <si>
    <t>特例値の縦断勾配を使用した際の制限長</t>
  </si>
  <si>
    <t>凸型縦断曲線半径（望ましい値)</t>
  </si>
  <si>
    <t>凸型縦断曲線半径（標準値)</t>
  </si>
  <si>
    <t>凹型縦断曲線半径（望ましい値)</t>
  </si>
  <si>
    <t>凹型縦断曲線半径（標準値)</t>
  </si>
  <si>
    <t>片勾配2％の曲線半径最大値</t>
  </si>
  <si>
    <t>片勾配2％の曲線半径最小値</t>
  </si>
  <si>
    <t>片勾配3％の曲線半径最小値</t>
  </si>
  <si>
    <t>片勾配4％の曲線半径最小値</t>
  </si>
  <si>
    <t>片勾配5％の曲線半径最小値</t>
  </si>
  <si>
    <t>片勾配6％の曲線半径最小値</t>
  </si>
  <si>
    <t>片勾配7％の曲線半径最小値</t>
  </si>
  <si>
    <t>片勾配8％の曲線半径最小値</t>
  </si>
  <si>
    <t>片勾配9％の曲線半径最小値</t>
  </si>
  <si>
    <t>片勾配10％の曲線半径最小値</t>
  </si>
  <si>
    <t>最急縦断勾配(4種道路の特例値)</t>
    <phoneticPr fontId="2"/>
  </si>
  <si>
    <t>)</t>
    <phoneticPr fontId="2"/>
  </si>
  <si>
    <t>(第4種の道路=</t>
    <rPh sb="1" eb="2">
      <t>ダイ</t>
    </rPh>
    <rPh sb="3" eb="4">
      <t>タネ</t>
    </rPh>
    <rPh sb="5" eb="7">
      <t>ドウロ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</si>
</sst>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8"/>
      <name val="ＭＳ 明朝"/>
      <family val="1"/>
      <charset val="128"/>
    </font>
    <font>
      <sz val="20"/>
      <name val="ＭＳ 明朝"/>
      <family val="1"/>
      <charset val="128"/>
    </font>
    <font>
      <sz val="12"/>
      <color indexed="10"/>
      <name val="ＭＳ 明朝"/>
      <family val="1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6" fontId="1" fillId="0" borderId="0"/>
  </cellStyleXfs>
  <cellXfs count="97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3" xfId="0" applyBorder="1"/>
    <xf numFmtId="0" fontId="3" fillId="0" borderId="26" xfId="0" applyFont="1" applyBorder="1" applyAlignment="1">
      <alignment horizontal="center" vertical="center"/>
    </xf>
    <xf numFmtId="0" fontId="0" fillId="0" borderId="39" xfId="0" applyBorder="1"/>
    <xf numFmtId="0" fontId="0" fillId="0" borderId="30" xfId="0" applyBorder="1"/>
    <xf numFmtId="2" fontId="3" fillId="0" borderId="28" xfId="0" applyNumberFormat="1" applyFont="1" applyBorder="1" applyAlignment="1">
      <alignment horizontal="center" vertical="center"/>
    </xf>
    <xf numFmtId="0" fontId="0" fillId="0" borderId="51" xfId="0" applyBorder="1"/>
    <xf numFmtId="0" fontId="0" fillId="0" borderId="27" xfId="0" applyBorder="1"/>
    <xf numFmtId="0" fontId="3" fillId="0" borderId="16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3" fillId="0" borderId="19" xfId="0" applyFont="1" applyBorder="1" applyAlignment="1">
      <alignment horizontal="center" vertical="center"/>
    </xf>
    <xf numFmtId="0" fontId="0" fillId="0" borderId="38" xfId="0" applyBorder="1"/>
    <xf numFmtId="0" fontId="0" fillId="0" borderId="29" xfId="0" applyBorder="1"/>
    <xf numFmtId="0" fontId="3" fillId="0" borderId="32" xfId="0" quotePrefix="1" applyFont="1" applyBorder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15" xfId="0" applyFont="1" applyBorder="1" applyAlignment="1">
      <alignment horizontal="distributed" vertical="center" justifyLastLine="1"/>
    </xf>
    <xf numFmtId="0" fontId="0" fillId="0" borderId="54" xfId="0" applyBorder="1"/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0" fillId="0" borderId="48" xfId="0" applyBorder="1"/>
    <xf numFmtId="0" fontId="3" fillId="0" borderId="24" xfId="0" applyFont="1" applyBorder="1" applyAlignment="1">
      <alignment horizontal="distributed" vertical="center" justifyLastLine="1"/>
    </xf>
    <xf numFmtId="0" fontId="3" fillId="0" borderId="28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3" fillId="0" borderId="34" xfId="0" applyFont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3" fillId="0" borderId="21" xfId="0" applyFont="1" applyBorder="1" applyAlignment="1">
      <alignment horizontal="distributed" vertical="center" justifyLastLine="1"/>
    </xf>
    <xf numFmtId="0" fontId="0" fillId="0" borderId="1" xfId="0" applyBorder="1"/>
    <xf numFmtId="0" fontId="3" fillId="0" borderId="30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/>
    </xf>
    <xf numFmtId="0" fontId="0" fillId="0" borderId="8" xfId="0" applyBorder="1"/>
    <xf numFmtId="0" fontId="0" fillId="0" borderId="11" xfId="0" applyBorder="1"/>
    <xf numFmtId="0" fontId="0" fillId="0" borderId="5" xfId="0" applyBorder="1"/>
    <xf numFmtId="0" fontId="0" fillId="0" borderId="14" xfId="0" applyBorder="1"/>
    <xf numFmtId="0" fontId="3" fillId="0" borderId="37" xfId="0" quotePrefix="1" applyFont="1" applyBorder="1" applyAlignment="1">
      <alignment vertical="center"/>
    </xf>
    <xf numFmtId="0" fontId="0" fillId="0" borderId="12" xfId="0" applyBorder="1"/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0" fillId="0" borderId="2" xfId="0" applyBorder="1"/>
    <xf numFmtId="0" fontId="3" fillId="0" borderId="20" xfId="0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25" xfId="0" applyFont="1" applyBorder="1" applyAlignment="1">
      <alignment horizontal="distributed" vertical="center" justifyLastLine="1"/>
    </xf>
    <xf numFmtId="0" fontId="0" fillId="0" borderId="31" xfId="0" applyBorder="1"/>
    <xf numFmtId="0" fontId="0" fillId="0" borderId="21" xfId="0" applyBorder="1"/>
    <xf numFmtId="0" fontId="6" fillId="0" borderId="16" xfId="0" applyFont="1" applyBorder="1" applyAlignment="1">
      <alignment horizontal="distributed" vertical="center" justifyLastLine="1"/>
    </xf>
    <xf numFmtId="0" fontId="3" fillId="0" borderId="18" xfId="0" applyFont="1" applyBorder="1" applyAlignment="1">
      <alignment horizontal="distributed" vertical="center" justifyLastLine="1"/>
    </xf>
    <xf numFmtId="0" fontId="0" fillId="0" borderId="13" xfId="0" applyBorder="1"/>
    <xf numFmtId="0" fontId="3" fillId="0" borderId="53" xfId="0" applyFont="1" applyBorder="1" applyAlignment="1">
      <alignment horizontal="center" vertical="center"/>
    </xf>
    <xf numFmtId="6" fontId="3" fillId="0" borderId="49" xfId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52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31" xfId="0" quotePrefix="1" applyFont="1" applyBorder="1" applyAlignment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44"/>
  <sheetViews>
    <sheetView tabSelected="1" view="pageLayout" zoomScaleNormal="85" workbookViewId="0">
      <selection activeCell="Y4" sqref="Y4:AB5"/>
    </sheetView>
  </sheetViews>
  <sheetFormatPr defaultColWidth="9" defaultRowHeight="24" customHeight="1" x14ac:dyDescent="0.2"/>
  <cols>
    <col min="1" max="1" width="1.6328125" style="2" customWidth="1"/>
    <col min="2" max="2" width="16" style="2" customWidth="1"/>
    <col min="3" max="39" width="2.6328125" style="2" customWidth="1"/>
    <col min="40" max="40" width="1.6328125" style="2" customWidth="1"/>
    <col min="41" max="41" width="9" style="2" customWidth="1"/>
    <col min="42" max="16384" width="9" style="2"/>
  </cols>
  <sheetData>
    <row r="1" spans="1:42" ht="24" customHeight="1" x14ac:dyDescent="0.2">
      <c r="A1" s="10"/>
      <c r="B1" s="9" t="s">
        <v>0</v>
      </c>
      <c r="C1" s="11"/>
      <c r="D1" s="11"/>
      <c r="E1" s="11"/>
      <c r="F1" s="11"/>
      <c r="G1" s="11"/>
      <c r="H1" s="90" t="s">
        <v>1</v>
      </c>
      <c r="I1" s="54"/>
      <c r="J1" s="54"/>
      <c r="K1" s="54"/>
      <c r="L1" s="54"/>
      <c r="M1" s="54"/>
      <c r="N1" s="95">
        <v>50</v>
      </c>
      <c r="O1" s="54"/>
      <c r="P1" s="87" t="s">
        <v>2</v>
      </c>
      <c r="Q1" s="54"/>
      <c r="R1" s="54"/>
      <c r="S1" s="11"/>
      <c r="T1" s="90" t="s">
        <v>104</v>
      </c>
      <c r="U1" s="90"/>
      <c r="V1" s="90"/>
      <c r="W1" s="90"/>
      <c r="X1" s="90"/>
      <c r="Y1" s="90"/>
      <c r="Z1" s="94" t="b">
        <v>0</v>
      </c>
      <c r="AA1" s="94"/>
      <c r="AB1" s="94"/>
      <c r="AC1" s="11" t="s">
        <v>103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2"/>
    </row>
    <row r="2" spans="1:42" ht="24" hidden="1" customHeight="1" x14ac:dyDescent="0.2">
      <c r="A2" s="1"/>
      <c r="C2" s="2">
        <v>20</v>
      </c>
      <c r="D2" s="2">
        <v>30</v>
      </c>
      <c r="E2" s="2">
        <v>40</v>
      </c>
      <c r="F2" s="2">
        <v>50</v>
      </c>
      <c r="G2" s="2">
        <v>60</v>
      </c>
      <c r="H2" s="2">
        <v>80</v>
      </c>
      <c r="I2" s="13">
        <v>100</v>
      </c>
      <c r="J2" s="13">
        <v>120</v>
      </c>
      <c r="K2" s="13"/>
      <c r="L2" s="13"/>
      <c r="M2" s="13"/>
      <c r="N2" s="4"/>
      <c r="O2" s="4"/>
      <c r="P2" s="14"/>
      <c r="Q2" s="14"/>
      <c r="AN2" s="3"/>
    </row>
    <row r="3" spans="1:42" ht="24" customHeight="1" thickBot="1" x14ac:dyDescent="0.25">
      <c r="A3" s="1"/>
      <c r="AN3" s="3"/>
    </row>
    <row r="4" spans="1:42" ht="24" customHeight="1" thickBot="1" x14ac:dyDescent="0.25">
      <c r="A4" s="1"/>
      <c r="B4" s="91" t="s">
        <v>3</v>
      </c>
      <c r="C4" s="54"/>
      <c r="D4" s="54"/>
      <c r="E4" s="60"/>
      <c r="F4" s="92" t="s">
        <v>4</v>
      </c>
      <c r="G4" s="54"/>
      <c r="H4" s="55"/>
      <c r="I4" s="50" t="s">
        <v>5</v>
      </c>
      <c r="J4" s="54"/>
      <c r="K4" s="54"/>
      <c r="L4" s="54"/>
      <c r="M4" s="54"/>
      <c r="N4" s="55"/>
      <c r="O4" s="78" t="s">
        <v>6</v>
      </c>
      <c r="P4" s="54"/>
      <c r="Q4" s="54"/>
      <c r="R4" s="54"/>
      <c r="S4" s="54"/>
      <c r="T4" s="54"/>
      <c r="U4" s="79" t="s">
        <v>7</v>
      </c>
      <c r="V4" s="54"/>
      <c r="W4" s="54"/>
      <c r="X4" s="60"/>
      <c r="Y4" s="59" t="s">
        <v>8</v>
      </c>
      <c r="Z4" s="54"/>
      <c r="AA4" s="54"/>
      <c r="AB4" s="60"/>
      <c r="AC4" s="59" t="s">
        <v>9</v>
      </c>
      <c r="AD4" s="54"/>
      <c r="AE4" s="54"/>
      <c r="AF4" s="54"/>
      <c r="AG4" s="54"/>
      <c r="AH4" s="54"/>
      <c r="AI4" s="54"/>
      <c r="AJ4" s="54"/>
      <c r="AK4" s="54"/>
      <c r="AL4" s="54"/>
      <c r="AM4" s="60"/>
      <c r="AN4" s="3"/>
    </row>
    <row r="5" spans="1:42" ht="24" customHeight="1" thickBot="1" x14ac:dyDescent="0.25">
      <c r="A5" s="1"/>
      <c r="B5" s="61"/>
      <c r="C5" s="62"/>
      <c r="D5" s="62"/>
      <c r="E5" s="63"/>
      <c r="F5" s="61"/>
      <c r="G5" s="62"/>
      <c r="H5" s="65"/>
      <c r="I5" s="77"/>
      <c r="J5" s="62"/>
      <c r="K5" s="62"/>
      <c r="L5" s="62"/>
      <c r="M5" s="62"/>
      <c r="N5" s="65"/>
      <c r="O5" s="77"/>
      <c r="P5" s="62"/>
      <c r="Q5" s="62"/>
      <c r="R5" s="62"/>
      <c r="S5" s="62"/>
      <c r="T5" s="62"/>
      <c r="U5" s="61"/>
      <c r="V5" s="62"/>
      <c r="W5" s="62"/>
      <c r="X5" s="63"/>
      <c r="Y5" s="61"/>
      <c r="Z5" s="62"/>
      <c r="AA5" s="62"/>
      <c r="AB5" s="63"/>
      <c r="AC5" s="61"/>
      <c r="AD5" s="62"/>
      <c r="AE5" s="62"/>
      <c r="AF5" s="62"/>
      <c r="AG5" s="62"/>
      <c r="AH5" s="62"/>
      <c r="AI5" s="62"/>
      <c r="AJ5" s="62"/>
      <c r="AK5" s="62"/>
      <c r="AL5" s="62"/>
      <c r="AM5" s="63"/>
      <c r="AN5" s="3"/>
    </row>
    <row r="6" spans="1:42" ht="24" customHeight="1" x14ac:dyDescent="0.2">
      <c r="A6" s="1"/>
      <c r="B6" s="56" t="s">
        <v>10</v>
      </c>
      <c r="C6" s="25"/>
      <c r="D6" s="25"/>
      <c r="E6" s="26"/>
      <c r="F6" s="89" t="s">
        <v>11</v>
      </c>
      <c r="G6" s="25"/>
      <c r="H6" s="26"/>
      <c r="I6" s="53" t="str">
        <f>CONCATENATE("(",HLOOKUP($N$1,データ!$B$1:$I$39,2),")")</f>
        <v>(150)</v>
      </c>
      <c r="J6" s="54"/>
      <c r="K6" s="54"/>
      <c r="L6" s="54"/>
      <c r="M6" s="54"/>
      <c r="N6" s="55"/>
      <c r="O6" s="53"/>
      <c r="P6" s="54"/>
      <c r="Q6" s="54"/>
      <c r="R6" s="54"/>
      <c r="S6" s="54"/>
      <c r="T6" s="55"/>
      <c r="U6" s="80">
        <f>使用値!B1</f>
        <v>0</v>
      </c>
      <c r="V6" s="54"/>
      <c r="W6" s="54"/>
      <c r="X6" s="55"/>
      <c r="Y6" s="80" t="str">
        <f>IF(U6&lt;I7,"NG","OK")</f>
        <v>NG</v>
      </c>
      <c r="Z6" s="54"/>
      <c r="AA6" s="54"/>
      <c r="AB6" s="55"/>
      <c r="AC6" s="88" t="s">
        <v>12</v>
      </c>
      <c r="AD6" s="54"/>
      <c r="AE6" s="54"/>
      <c r="AF6" s="54"/>
      <c r="AG6" s="54"/>
      <c r="AH6" s="54"/>
      <c r="AI6" s="54"/>
      <c r="AJ6" s="54"/>
      <c r="AK6" s="54"/>
      <c r="AL6" s="54"/>
      <c r="AM6" s="60"/>
      <c r="AN6" s="3"/>
      <c r="AP6" s="22"/>
    </row>
    <row r="7" spans="1:42" ht="24" customHeight="1" x14ac:dyDescent="0.2">
      <c r="A7" s="1"/>
      <c r="B7" s="45"/>
      <c r="C7" s="37"/>
      <c r="D7" s="37"/>
      <c r="E7" s="38"/>
      <c r="F7" s="37"/>
      <c r="G7" s="37"/>
      <c r="H7" s="38"/>
      <c r="I7" s="46">
        <f>HLOOKUP($N$1,データ!$B$1:$I$39,3)</f>
        <v>100</v>
      </c>
      <c r="J7" s="37"/>
      <c r="K7" s="37"/>
      <c r="L7" s="37"/>
      <c r="M7" s="37"/>
      <c r="N7" s="38"/>
      <c r="O7" s="46">
        <f>HLOOKUP($N$1,データ!$B$1:$I$39,4)</f>
        <v>80</v>
      </c>
      <c r="P7" s="37"/>
      <c r="Q7" s="37"/>
      <c r="R7" s="37"/>
      <c r="S7" s="37"/>
      <c r="T7" s="38"/>
      <c r="U7" s="36"/>
      <c r="V7" s="37"/>
      <c r="W7" s="37"/>
      <c r="X7" s="38"/>
      <c r="Y7" s="36"/>
      <c r="Z7" s="37"/>
      <c r="AA7" s="37"/>
      <c r="AB7" s="38"/>
      <c r="AC7" s="85"/>
      <c r="AD7" s="37"/>
      <c r="AE7" s="37"/>
      <c r="AF7" s="37"/>
      <c r="AG7" s="37"/>
      <c r="AH7" s="37"/>
      <c r="AI7" s="37"/>
      <c r="AJ7" s="37"/>
      <c r="AK7" s="37"/>
      <c r="AL7" s="37"/>
      <c r="AM7" s="52"/>
      <c r="AN7" s="3"/>
    </row>
    <row r="8" spans="1:42" ht="24" customHeight="1" x14ac:dyDescent="0.2">
      <c r="A8" s="1"/>
      <c r="B8" s="44" t="s">
        <v>13</v>
      </c>
      <c r="C8" s="40"/>
      <c r="D8" s="40"/>
      <c r="E8" s="41"/>
      <c r="F8" s="43" t="s">
        <v>14</v>
      </c>
      <c r="G8" s="40"/>
      <c r="H8" s="41"/>
      <c r="I8" s="33">
        <f>HLOOKUP($N$1,データ!$B$1:$I$39,5)</f>
        <v>40</v>
      </c>
      <c r="J8" s="40"/>
      <c r="K8" s="40"/>
      <c r="L8" s="40"/>
      <c r="M8" s="40"/>
      <c r="N8" s="41"/>
      <c r="O8" s="33"/>
      <c r="P8" s="40"/>
      <c r="Q8" s="40"/>
      <c r="R8" s="40"/>
      <c r="S8" s="40"/>
      <c r="T8" s="41"/>
      <c r="U8" s="33">
        <f>使用値!B2</f>
        <v>0</v>
      </c>
      <c r="V8" s="40"/>
      <c r="W8" s="40"/>
      <c r="X8" s="41"/>
      <c r="Y8" s="33" t="str">
        <f>IF(U8&lt;I8,"NG","OK")</f>
        <v>NG</v>
      </c>
      <c r="Z8" s="40"/>
      <c r="AA8" s="40"/>
      <c r="AB8" s="41"/>
      <c r="AC8" s="47"/>
      <c r="AD8" s="40"/>
      <c r="AE8" s="40"/>
      <c r="AF8" s="40"/>
      <c r="AG8" s="40"/>
      <c r="AH8" s="40"/>
      <c r="AI8" s="40"/>
      <c r="AJ8" s="40"/>
      <c r="AK8" s="40"/>
      <c r="AL8" s="40"/>
      <c r="AM8" s="48"/>
      <c r="AN8" s="3"/>
    </row>
    <row r="9" spans="1:42" ht="24" customHeight="1" x14ac:dyDescent="0.2">
      <c r="A9" s="1"/>
      <c r="B9" s="76" t="s">
        <v>15</v>
      </c>
      <c r="C9" s="34"/>
      <c r="D9" s="34"/>
      <c r="E9" s="35"/>
      <c r="F9" s="43" t="s">
        <v>14</v>
      </c>
      <c r="G9" s="34"/>
      <c r="H9" s="35"/>
      <c r="I9" s="33">
        <f>HLOOKUP($N$1,データ!$B$1:$I$39,6)</f>
        <v>700</v>
      </c>
      <c r="J9" s="34"/>
      <c r="K9" s="34"/>
      <c r="L9" s="34"/>
      <c r="M9" s="34"/>
      <c r="N9" s="35"/>
      <c r="O9" s="33">
        <f>HLOOKUP($N$1,データ!$B$1:$I$39,7)</f>
        <v>350</v>
      </c>
      <c r="P9" s="34"/>
      <c r="Q9" s="34"/>
      <c r="R9" s="34"/>
      <c r="S9" s="34"/>
      <c r="T9" s="35"/>
      <c r="U9" s="33">
        <f>使用値!B3</f>
        <v>0</v>
      </c>
      <c r="V9" s="34"/>
      <c r="W9" s="34"/>
      <c r="X9" s="35"/>
      <c r="Y9" s="33" t="str">
        <f>IF(U9&lt;I9,"NG","OK")</f>
        <v>NG</v>
      </c>
      <c r="Z9" s="34"/>
      <c r="AA9" s="34"/>
      <c r="AB9" s="35"/>
      <c r="AC9" s="47"/>
      <c r="AD9" s="34"/>
      <c r="AE9" s="34"/>
      <c r="AF9" s="34"/>
      <c r="AG9" s="34"/>
      <c r="AH9" s="34"/>
      <c r="AI9" s="34"/>
      <c r="AJ9" s="34"/>
      <c r="AK9" s="34"/>
      <c r="AL9" s="34"/>
      <c r="AM9" s="51"/>
      <c r="AN9" s="3"/>
    </row>
    <row r="10" spans="1:42" ht="24" customHeight="1" x14ac:dyDescent="0.2">
      <c r="A10" s="1"/>
      <c r="B10" s="56" t="s">
        <v>16</v>
      </c>
      <c r="C10" s="37"/>
      <c r="D10" s="37"/>
      <c r="E10" s="38"/>
      <c r="F10" s="37"/>
      <c r="G10" s="37"/>
      <c r="H10" s="38"/>
      <c r="I10" s="36"/>
      <c r="J10" s="37"/>
      <c r="K10" s="37"/>
      <c r="L10" s="37"/>
      <c r="M10" s="37"/>
      <c r="N10" s="38"/>
      <c r="O10" s="36"/>
      <c r="P10" s="37"/>
      <c r="Q10" s="37"/>
      <c r="R10" s="37"/>
      <c r="S10" s="37"/>
      <c r="T10" s="38"/>
      <c r="U10" s="36"/>
      <c r="V10" s="37"/>
      <c r="W10" s="37"/>
      <c r="X10" s="38"/>
      <c r="Y10" s="36"/>
      <c r="Z10" s="37"/>
      <c r="AA10" s="37"/>
      <c r="AB10" s="38"/>
      <c r="AC10" s="36"/>
      <c r="AD10" s="37"/>
      <c r="AE10" s="37"/>
      <c r="AF10" s="37"/>
      <c r="AG10" s="37"/>
      <c r="AH10" s="37"/>
      <c r="AI10" s="37"/>
      <c r="AJ10" s="37"/>
      <c r="AK10" s="37"/>
      <c r="AL10" s="37"/>
      <c r="AM10" s="52"/>
      <c r="AN10" s="3"/>
    </row>
    <row r="11" spans="1:42" ht="24" customHeight="1" x14ac:dyDescent="0.2">
      <c r="A11" s="1"/>
      <c r="B11" s="44" t="s">
        <v>17</v>
      </c>
      <c r="C11" s="34"/>
      <c r="D11" s="34"/>
      <c r="E11" s="35"/>
      <c r="F11" s="43" t="s">
        <v>14</v>
      </c>
      <c r="G11" s="34"/>
      <c r="H11" s="35"/>
      <c r="I11" s="39" t="str">
        <f>CONCATENATE("(",HLOOKUP($N$1,データ!$B$1:$I$39,8),"/θ)")</f>
        <v>(600/θ)</v>
      </c>
      <c r="J11" s="34"/>
      <c r="K11" s="34"/>
      <c r="L11" s="34"/>
      <c r="M11" s="34"/>
      <c r="N11" s="35"/>
      <c r="O11" s="39"/>
      <c r="P11" s="34"/>
      <c r="Q11" s="34"/>
      <c r="R11" s="34"/>
      <c r="S11" s="34"/>
      <c r="T11" s="35"/>
      <c r="U11" s="33">
        <f>IF(N1&lt;80,使用値!B4,使用値!B5)</f>
        <v>0</v>
      </c>
      <c r="V11" s="34"/>
      <c r="W11" s="34"/>
      <c r="X11" s="35"/>
      <c r="Y11" s="33" t="str">
        <f>IF(U11&lt;I12,"NG","OK")</f>
        <v>NG</v>
      </c>
      <c r="Z11" s="34"/>
      <c r="AA11" s="34"/>
      <c r="AB11" s="35"/>
      <c r="AC11" s="70" t="s">
        <v>18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51"/>
      <c r="AN11" s="3"/>
    </row>
    <row r="12" spans="1:42" ht="24" customHeight="1" x14ac:dyDescent="0.2">
      <c r="A12" s="1"/>
      <c r="B12" s="45"/>
      <c r="C12" s="37"/>
      <c r="D12" s="37"/>
      <c r="E12" s="38"/>
      <c r="F12" s="37"/>
      <c r="G12" s="37"/>
      <c r="H12" s="38"/>
      <c r="I12" s="46">
        <f>HLOOKUP($N$1,データ!$B$1:$I$39,9)</f>
        <v>80</v>
      </c>
      <c r="J12" s="37"/>
      <c r="K12" s="37"/>
      <c r="L12" s="37"/>
      <c r="M12" s="37"/>
      <c r="N12" s="38"/>
      <c r="O12" s="46"/>
      <c r="P12" s="37"/>
      <c r="Q12" s="37"/>
      <c r="R12" s="37"/>
      <c r="S12" s="37"/>
      <c r="T12" s="38"/>
      <c r="U12" s="36"/>
      <c r="V12" s="37"/>
      <c r="W12" s="37"/>
      <c r="X12" s="38"/>
      <c r="Y12" s="36"/>
      <c r="Z12" s="37"/>
      <c r="AA12" s="37"/>
      <c r="AB12" s="38"/>
      <c r="AC12" s="85" t="s">
        <v>19</v>
      </c>
      <c r="AD12" s="37"/>
      <c r="AE12" s="37"/>
      <c r="AF12" s="37"/>
      <c r="AG12" s="37"/>
      <c r="AH12" s="37"/>
      <c r="AI12" s="37"/>
      <c r="AJ12" s="37"/>
      <c r="AK12" s="37"/>
      <c r="AL12" s="37"/>
      <c r="AM12" s="52"/>
      <c r="AN12" s="3"/>
    </row>
    <row r="13" spans="1:42" ht="24" customHeight="1" x14ac:dyDescent="0.2">
      <c r="A13" s="1"/>
      <c r="B13" s="44" t="s">
        <v>20</v>
      </c>
      <c r="C13" s="34"/>
      <c r="D13" s="34"/>
      <c r="E13" s="35"/>
      <c r="F13" s="43" t="s">
        <v>14</v>
      </c>
      <c r="G13" s="34"/>
      <c r="H13" s="35"/>
      <c r="I13" s="39" t="str">
        <f>CONCATENATE("(",HLOOKUP($N$1,データ!$B$1:$I$39,10),")")</f>
        <v>(1000)</v>
      </c>
      <c r="J13" s="34"/>
      <c r="K13" s="34"/>
      <c r="L13" s="34"/>
      <c r="M13" s="34"/>
      <c r="N13" s="35"/>
      <c r="O13" s="39"/>
      <c r="P13" s="34"/>
      <c r="Q13" s="34"/>
      <c r="R13" s="34"/>
      <c r="S13" s="34"/>
      <c r="T13" s="35"/>
      <c r="U13" s="33">
        <f>使用値!B6</f>
        <v>0</v>
      </c>
      <c r="V13" s="34"/>
      <c r="W13" s="34"/>
      <c r="X13" s="35"/>
      <c r="Y13" s="33" t="str">
        <f>IF(U13&lt;I14,"NG","OK")</f>
        <v>NG</v>
      </c>
      <c r="Z13" s="34"/>
      <c r="AA13" s="34"/>
      <c r="AB13" s="35"/>
      <c r="AC13" s="70" t="s">
        <v>21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51"/>
      <c r="AN13" s="3"/>
    </row>
    <row r="14" spans="1:42" ht="24" customHeight="1" x14ac:dyDescent="0.2">
      <c r="A14" s="1"/>
      <c r="B14" s="45"/>
      <c r="C14" s="37"/>
      <c r="D14" s="37"/>
      <c r="E14" s="38"/>
      <c r="F14" s="37"/>
      <c r="G14" s="37"/>
      <c r="H14" s="38"/>
      <c r="I14" s="46">
        <f>HLOOKUP($N$1,データ!$B$1:$I$39,11)</f>
        <v>1300</v>
      </c>
      <c r="J14" s="37"/>
      <c r="K14" s="37"/>
      <c r="L14" s="37"/>
      <c r="M14" s="37"/>
      <c r="N14" s="38"/>
      <c r="O14" s="46"/>
      <c r="P14" s="37"/>
      <c r="Q14" s="37"/>
      <c r="R14" s="37"/>
      <c r="S14" s="37"/>
      <c r="T14" s="38"/>
      <c r="U14" s="36"/>
      <c r="V14" s="37"/>
      <c r="W14" s="37"/>
      <c r="X14" s="38"/>
      <c r="Y14" s="36"/>
      <c r="Z14" s="37"/>
      <c r="AA14" s="37"/>
      <c r="AB14" s="38"/>
      <c r="AC14" s="85" t="s">
        <v>22</v>
      </c>
      <c r="AD14" s="37"/>
      <c r="AE14" s="37"/>
      <c r="AF14" s="37"/>
      <c r="AG14" s="37"/>
      <c r="AH14" s="37"/>
      <c r="AI14" s="37"/>
      <c r="AJ14" s="37"/>
      <c r="AK14" s="37"/>
      <c r="AL14" s="37"/>
      <c r="AM14" s="52"/>
      <c r="AN14" s="3"/>
    </row>
    <row r="15" spans="1:42" ht="24" customHeight="1" x14ac:dyDescent="0.2">
      <c r="A15" s="1"/>
      <c r="B15" s="44" t="s">
        <v>23</v>
      </c>
      <c r="C15" s="40"/>
      <c r="D15" s="40"/>
      <c r="E15" s="41"/>
      <c r="F15" s="43"/>
      <c r="G15" s="40"/>
      <c r="H15" s="41"/>
      <c r="I15" s="33" t="str">
        <f>CONCATENATE("1/",HLOOKUP($N$1,データ!$B$1:$I$39,12),"以下")</f>
        <v>1/115以下</v>
      </c>
      <c r="J15" s="40"/>
      <c r="K15" s="40"/>
      <c r="L15" s="40"/>
      <c r="M15" s="40"/>
      <c r="N15" s="41"/>
      <c r="O15" s="33"/>
      <c r="P15" s="40"/>
      <c r="Q15" s="40"/>
      <c r="R15" s="40"/>
      <c r="S15" s="40"/>
      <c r="T15" s="41"/>
      <c r="U15" s="39">
        <f>使用値!B7</f>
        <v>0</v>
      </c>
      <c r="V15" s="34"/>
      <c r="W15" s="34"/>
      <c r="X15" s="35"/>
      <c r="Y15" s="33" t="str">
        <f>IF(U15=0,"OK",IF(((LEFT(I15,FIND("/",I15)-1))/(MID(I15,FIND("/",I15)+1,FIND("以",I15)-FIND("/",I15)-1)))&gt;=(LEFT(U15,FIND("/",U15)-1)/MID(U15,FIND("/",U15)+1,LEN(U15))),"OK","NG"))</f>
        <v>OK</v>
      </c>
      <c r="Z15" s="40"/>
      <c r="AA15" s="40"/>
      <c r="AB15" s="41"/>
      <c r="AC15" s="47"/>
      <c r="AD15" s="40"/>
      <c r="AE15" s="40"/>
      <c r="AF15" s="40"/>
      <c r="AG15" s="40"/>
      <c r="AH15" s="40"/>
      <c r="AI15" s="40"/>
      <c r="AJ15" s="40"/>
      <c r="AK15" s="40"/>
      <c r="AL15" s="40"/>
      <c r="AM15" s="48"/>
      <c r="AN15" s="3"/>
    </row>
    <row r="16" spans="1:42" ht="24" customHeight="1" x14ac:dyDescent="0.2">
      <c r="A16" s="1"/>
      <c r="B16" s="44" t="s">
        <v>24</v>
      </c>
      <c r="C16" s="40"/>
      <c r="D16" s="40"/>
      <c r="E16" s="41"/>
      <c r="F16" s="43" t="s">
        <v>25</v>
      </c>
      <c r="G16" s="40"/>
      <c r="H16" s="41"/>
      <c r="I16" s="33">
        <f>HLOOKUP($N$1,データ!$B$1:$I$39,13)</f>
        <v>6</v>
      </c>
      <c r="J16" s="40"/>
      <c r="K16" s="40"/>
      <c r="L16" s="40"/>
      <c r="M16" s="40"/>
      <c r="N16" s="41"/>
      <c r="O16" s="33">
        <f>IF(Z1=FALSE,HLOOKUP($N$1,データ!$B$1:$I$39,14),HLOOKUP($N$1,データ!$B$1:$I$39,15))</f>
        <v>9</v>
      </c>
      <c r="P16" s="40"/>
      <c r="Q16" s="40"/>
      <c r="R16" s="40"/>
      <c r="S16" s="40"/>
      <c r="T16" s="41"/>
      <c r="U16" s="39">
        <f>使用値!B8</f>
        <v>0</v>
      </c>
      <c r="V16" s="34"/>
      <c r="W16" s="34"/>
      <c r="X16" s="35"/>
      <c r="Y16" s="33" t="str">
        <f>IF(O16&gt;=U16,"OK","NG")</f>
        <v>OK</v>
      </c>
      <c r="Z16" s="40"/>
      <c r="AA16" s="40"/>
      <c r="AB16" s="41"/>
      <c r="AC16" s="47" t="s">
        <v>26</v>
      </c>
      <c r="AD16" s="40"/>
      <c r="AE16" s="40"/>
      <c r="AF16" s="40"/>
      <c r="AG16" s="40"/>
      <c r="AH16" s="40"/>
      <c r="AI16" s="40"/>
      <c r="AJ16" s="40"/>
      <c r="AK16" s="40"/>
      <c r="AL16" s="40"/>
      <c r="AM16" s="48"/>
      <c r="AN16" s="3"/>
    </row>
    <row r="17" spans="1:40" ht="24" customHeight="1" x14ac:dyDescent="0.2">
      <c r="A17" s="1"/>
      <c r="B17" s="76" t="s">
        <v>27</v>
      </c>
      <c r="C17" s="34"/>
      <c r="D17" s="34"/>
      <c r="E17" s="35"/>
      <c r="F17" s="43" t="s">
        <v>25</v>
      </c>
      <c r="G17" s="40"/>
      <c r="H17" s="41"/>
      <c r="I17" s="33">
        <f>HLOOKUP($N$1,データ!$B$1:$I$39,16)</f>
        <v>7</v>
      </c>
      <c r="J17" s="40"/>
      <c r="K17" s="40"/>
      <c r="L17" s="41"/>
      <c r="M17" s="33">
        <f>HLOOKUP($N$1,データ!$B$1:$I$39,17)</f>
        <v>8</v>
      </c>
      <c r="N17" s="40"/>
      <c r="O17" s="40"/>
      <c r="P17" s="41"/>
      <c r="Q17" s="33">
        <f>HLOOKUP($N$1,データ!$B$1:$I$39,18)</f>
        <v>9</v>
      </c>
      <c r="R17" s="40"/>
      <c r="S17" s="40"/>
      <c r="T17" s="41"/>
      <c r="U17" s="39">
        <f>使用値!B9</f>
        <v>0</v>
      </c>
      <c r="V17" s="34"/>
      <c r="W17" s="34"/>
      <c r="X17" s="35"/>
      <c r="Y17" s="39" t="s">
        <v>28</v>
      </c>
      <c r="Z17" s="34"/>
      <c r="AA17" s="34"/>
      <c r="AB17" s="35"/>
      <c r="AC17" s="47"/>
      <c r="AD17" s="34"/>
      <c r="AE17" s="34"/>
      <c r="AF17" s="34"/>
      <c r="AG17" s="34"/>
      <c r="AH17" s="34"/>
      <c r="AI17" s="34"/>
      <c r="AJ17" s="34"/>
      <c r="AK17" s="34"/>
      <c r="AL17" s="34"/>
      <c r="AM17" s="51"/>
      <c r="AN17" s="3"/>
    </row>
    <row r="18" spans="1:40" ht="24" customHeight="1" x14ac:dyDescent="0.2">
      <c r="A18" s="1"/>
      <c r="B18" s="56" t="s">
        <v>29</v>
      </c>
      <c r="C18" s="37"/>
      <c r="D18" s="37"/>
      <c r="E18" s="38"/>
      <c r="F18" s="43" t="s">
        <v>11</v>
      </c>
      <c r="G18" s="40"/>
      <c r="H18" s="41"/>
      <c r="I18" s="33">
        <f>HLOOKUP($N$1,データ!$B$1:$I$39,19)</f>
        <v>500</v>
      </c>
      <c r="J18" s="40"/>
      <c r="K18" s="40"/>
      <c r="L18" s="41"/>
      <c r="M18" s="33">
        <f>HLOOKUP($N$1,データ!$B$1:$I$39,20)</f>
        <v>400</v>
      </c>
      <c r="N18" s="40"/>
      <c r="O18" s="40"/>
      <c r="P18" s="41"/>
      <c r="Q18" s="33">
        <f>HLOOKUP($N$1,データ!$B$1:$I$39,21)</f>
        <v>300</v>
      </c>
      <c r="R18" s="40"/>
      <c r="S18" s="40"/>
      <c r="T18" s="41"/>
      <c r="U18" s="39">
        <f>使用値!B10</f>
        <v>0</v>
      </c>
      <c r="V18" s="34"/>
      <c r="W18" s="34"/>
      <c r="X18" s="35"/>
      <c r="Y18" s="39" t="s">
        <v>28</v>
      </c>
      <c r="Z18" s="34"/>
      <c r="AA18" s="34"/>
      <c r="AB18" s="35"/>
      <c r="AC18" s="36"/>
      <c r="AD18" s="37"/>
      <c r="AE18" s="37"/>
      <c r="AF18" s="37"/>
      <c r="AG18" s="37"/>
      <c r="AH18" s="37"/>
      <c r="AI18" s="37"/>
      <c r="AJ18" s="37"/>
      <c r="AK18" s="37"/>
      <c r="AL18" s="37"/>
      <c r="AM18" s="52"/>
      <c r="AN18" s="3"/>
    </row>
    <row r="19" spans="1:40" ht="24" customHeight="1" x14ac:dyDescent="0.2">
      <c r="A19" s="1"/>
      <c r="B19" s="44" t="s">
        <v>30</v>
      </c>
      <c r="C19" s="75" t="s">
        <v>31</v>
      </c>
      <c r="D19" s="34"/>
      <c r="E19" s="35"/>
      <c r="F19" s="43" t="s">
        <v>14</v>
      </c>
      <c r="G19" s="34"/>
      <c r="H19" s="35"/>
      <c r="I19" s="39" t="str">
        <f>CONCATENATE("(",HLOOKUP($N$1,データ!$B$1:$I$39,22),")")</f>
        <v>(1200)</v>
      </c>
      <c r="J19" s="34"/>
      <c r="K19" s="34"/>
      <c r="L19" s="34"/>
      <c r="M19" s="34"/>
      <c r="N19" s="35"/>
      <c r="O19" s="39"/>
      <c r="P19" s="34"/>
      <c r="Q19" s="34"/>
      <c r="R19" s="34"/>
      <c r="S19" s="34"/>
      <c r="T19" s="35"/>
      <c r="U19" s="33">
        <f>使用値!B11</f>
        <v>0</v>
      </c>
      <c r="V19" s="34"/>
      <c r="W19" s="34"/>
      <c r="X19" s="35"/>
      <c r="Y19" s="33" t="str">
        <f>IF(U19&lt;I20,"NG","OK")</f>
        <v>NG</v>
      </c>
      <c r="Z19" s="34"/>
      <c r="AA19" s="34"/>
      <c r="AB19" s="35"/>
      <c r="AC19" s="47" t="s">
        <v>12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51"/>
      <c r="AN19" s="3"/>
    </row>
    <row r="20" spans="1:40" ht="24" customHeight="1" x14ac:dyDescent="0.2">
      <c r="A20" s="1"/>
      <c r="B20" s="73"/>
      <c r="C20" s="36"/>
      <c r="D20" s="37"/>
      <c r="E20" s="38"/>
      <c r="F20" s="37"/>
      <c r="G20" s="37"/>
      <c r="H20" s="38"/>
      <c r="I20" s="46">
        <f>HLOOKUP($N$1,データ!$B$1:$I$39,23)</f>
        <v>800</v>
      </c>
      <c r="J20" s="37"/>
      <c r="K20" s="37"/>
      <c r="L20" s="37"/>
      <c r="M20" s="37"/>
      <c r="N20" s="38"/>
      <c r="O20" s="46"/>
      <c r="P20" s="37"/>
      <c r="Q20" s="37"/>
      <c r="R20" s="37"/>
      <c r="S20" s="37"/>
      <c r="T20" s="38"/>
      <c r="U20" s="36"/>
      <c r="V20" s="37"/>
      <c r="W20" s="37"/>
      <c r="X20" s="38"/>
      <c r="Y20" s="36"/>
      <c r="Z20" s="37"/>
      <c r="AA20" s="37"/>
      <c r="AB20" s="38"/>
      <c r="AC20" s="36"/>
      <c r="AD20" s="37"/>
      <c r="AE20" s="37"/>
      <c r="AF20" s="37"/>
      <c r="AG20" s="37"/>
      <c r="AH20" s="37"/>
      <c r="AI20" s="37"/>
      <c r="AJ20" s="37"/>
      <c r="AK20" s="37"/>
      <c r="AL20" s="37"/>
      <c r="AM20" s="52"/>
      <c r="AN20" s="3"/>
    </row>
    <row r="21" spans="1:40" ht="24" customHeight="1" x14ac:dyDescent="0.2">
      <c r="A21" s="1"/>
      <c r="B21" s="73"/>
      <c r="C21" s="75" t="s">
        <v>32</v>
      </c>
      <c r="D21" s="34"/>
      <c r="E21" s="35"/>
      <c r="F21" s="43" t="s">
        <v>14</v>
      </c>
      <c r="G21" s="34"/>
      <c r="H21" s="35"/>
      <c r="I21" s="39" t="str">
        <f>CONCATENATE("(",HLOOKUP($N$1,データ!$B$1:$I$39,24),")")</f>
        <v>(1000)</v>
      </c>
      <c r="J21" s="34"/>
      <c r="K21" s="34"/>
      <c r="L21" s="34"/>
      <c r="M21" s="34"/>
      <c r="N21" s="35"/>
      <c r="O21" s="39"/>
      <c r="P21" s="34"/>
      <c r="Q21" s="34"/>
      <c r="R21" s="34"/>
      <c r="S21" s="34"/>
      <c r="T21" s="35"/>
      <c r="U21" s="33">
        <f>使用値!B12</f>
        <v>0</v>
      </c>
      <c r="V21" s="34"/>
      <c r="W21" s="34"/>
      <c r="X21" s="35"/>
      <c r="Y21" s="33" t="str">
        <f>IF(U21&lt;I22,"NG","OK")</f>
        <v>NG</v>
      </c>
      <c r="Z21" s="34"/>
      <c r="AA21" s="34"/>
      <c r="AB21" s="35"/>
      <c r="AC21" s="47" t="s">
        <v>12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51"/>
      <c r="AN21" s="3"/>
    </row>
    <row r="22" spans="1:40" ht="24" customHeight="1" x14ac:dyDescent="0.2">
      <c r="A22" s="1"/>
      <c r="B22" s="74"/>
      <c r="C22" s="36"/>
      <c r="D22" s="37"/>
      <c r="E22" s="38"/>
      <c r="F22" s="37"/>
      <c r="G22" s="37"/>
      <c r="H22" s="38"/>
      <c r="I22" s="46">
        <f>HLOOKUP($N$1,データ!$B$1:$I$39,25)</f>
        <v>700</v>
      </c>
      <c r="J22" s="37"/>
      <c r="K22" s="37"/>
      <c r="L22" s="37"/>
      <c r="M22" s="37"/>
      <c r="N22" s="38"/>
      <c r="O22" s="46"/>
      <c r="P22" s="37"/>
      <c r="Q22" s="37"/>
      <c r="R22" s="37"/>
      <c r="S22" s="37"/>
      <c r="T22" s="38"/>
      <c r="U22" s="36"/>
      <c r="V22" s="37"/>
      <c r="W22" s="37"/>
      <c r="X22" s="38"/>
      <c r="Y22" s="36"/>
      <c r="Z22" s="37"/>
      <c r="AA22" s="37"/>
      <c r="AB22" s="38"/>
      <c r="AC22" s="36"/>
      <c r="AD22" s="37"/>
      <c r="AE22" s="37"/>
      <c r="AF22" s="37"/>
      <c r="AG22" s="37"/>
      <c r="AH22" s="37"/>
      <c r="AI22" s="37"/>
      <c r="AJ22" s="37"/>
      <c r="AK22" s="37"/>
      <c r="AL22" s="37"/>
      <c r="AM22" s="52"/>
      <c r="AN22" s="3"/>
    </row>
    <row r="23" spans="1:40" ht="24" customHeight="1" x14ac:dyDescent="0.2">
      <c r="A23" s="1"/>
      <c r="B23" s="44" t="s">
        <v>33</v>
      </c>
      <c r="C23" s="40"/>
      <c r="D23" s="40"/>
      <c r="E23" s="41"/>
      <c r="F23" s="43" t="s">
        <v>14</v>
      </c>
      <c r="G23" s="40"/>
      <c r="H23" s="41"/>
      <c r="I23" s="33">
        <f>HLOOKUP($N$1,データ!$B$1:$I$39,26)</f>
        <v>40</v>
      </c>
      <c r="J23" s="40"/>
      <c r="K23" s="40"/>
      <c r="L23" s="40"/>
      <c r="M23" s="40"/>
      <c r="N23" s="41"/>
      <c r="O23" s="33"/>
      <c r="P23" s="40"/>
      <c r="Q23" s="40"/>
      <c r="R23" s="40"/>
      <c r="S23" s="40"/>
      <c r="T23" s="41"/>
      <c r="U23" s="33">
        <f>使用値!B13</f>
        <v>0</v>
      </c>
      <c r="V23" s="40"/>
      <c r="W23" s="40"/>
      <c r="X23" s="41"/>
      <c r="Y23" s="33" t="str">
        <f>IF(U23&lt;I23,"NG","OK")</f>
        <v>NG</v>
      </c>
      <c r="Z23" s="40"/>
      <c r="AA23" s="40"/>
      <c r="AB23" s="41"/>
      <c r="AC23" s="47"/>
      <c r="AD23" s="40"/>
      <c r="AE23" s="40"/>
      <c r="AF23" s="40"/>
      <c r="AG23" s="40"/>
      <c r="AH23" s="40"/>
      <c r="AI23" s="40"/>
      <c r="AJ23" s="40"/>
      <c r="AK23" s="40"/>
      <c r="AL23" s="40"/>
      <c r="AM23" s="48"/>
      <c r="AN23" s="3"/>
    </row>
    <row r="24" spans="1:40" ht="24" customHeight="1" x14ac:dyDescent="0.2">
      <c r="A24" s="1"/>
      <c r="B24" s="44" t="s">
        <v>34</v>
      </c>
      <c r="C24" s="40"/>
      <c r="D24" s="40"/>
      <c r="E24" s="41"/>
      <c r="F24" s="43" t="s">
        <v>14</v>
      </c>
      <c r="G24" s="40"/>
      <c r="H24" s="41"/>
      <c r="I24" s="33">
        <f>HLOOKUP($N$1,データ!$B$1:$I$39,27)</f>
        <v>55</v>
      </c>
      <c r="J24" s="40"/>
      <c r="K24" s="40"/>
      <c r="L24" s="40"/>
      <c r="M24" s="40"/>
      <c r="N24" s="41"/>
      <c r="O24" s="33"/>
      <c r="P24" s="40"/>
      <c r="Q24" s="40"/>
      <c r="R24" s="40"/>
      <c r="S24" s="40"/>
      <c r="T24" s="41"/>
      <c r="U24" s="33">
        <f>使用値!B14</f>
        <v>0</v>
      </c>
      <c r="V24" s="40"/>
      <c r="W24" s="40"/>
      <c r="X24" s="41"/>
      <c r="Y24" s="33" t="str">
        <f>IF(U24&lt;I24,"NG","OK")</f>
        <v>NG</v>
      </c>
      <c r="Z24" s="40"/>
      <c r="AA24" s="40"/>
      <c r="AB24" s="41"/>
      <c r="AC24" s="81"/>
      <c r="AD24" s="25"/>
      <c r="AE24" s="25"/>
      <c r="AF24" s="25"/>
      <c r="AG24" s="25"/>
      <c r="AH24" s="25"/>
      <c r="AI24" s="25"/>
      <c r="AJ24" s="25"/>
      <c r="AK24" s="25"/>
      <c r="AL24" s="25"/>
      <c r="AM24" s="69"/>
      <c r="AN24" s="3"/>
    </row>
    <row r="25" spans="1:40" ht="24" customHeight="1" thickBot="1" x14ac:dyDescent="0.25">
      <c r="A25" s="1"/>
      <c r="B25" s="72" t="s">
        <v>35</v>
      </c>
      <c r="C25" s="28"/>
      <c r="D25" s="28"/>
      <c r="E25" s="29"/>
      <c r="F25" s="84" t="s">
        <v>25</v>
      </c>
      <c r="G25" s="28"/>
      <c r="H25" s="29"/>
      <c r="I25" s="27">
        <f>HLOOKUP($N$1,データ!$B$1:$I$39,28)</f>
        <v>11.5</v>
      </c>
      <c r="J25" s="28"/>
      <c r="K25" s="28"/>
      <c r="L25" s="28"/>
      <c r="M25" s="28"/>
      <c r="N25" s="29"/>
      <c r="O25" s="27">
        <f>HLOOKUP($N$1,データ!$B$1:$I$39,29)</f>
        <v>0</v>
      </c>
      <c r="P25" s="28"/>
      <c r="Q25" s="28"/>
      <c r="R25" s="28"/>
      <c r="S25" s="28"/>
      <c r="T25" s="29"/>
      <c r="U25" s="27">
        <f>使用値!B15</f>
        <v>0</v>
      </c>
      <c r="V25" s="28"/>
      <c r="W25" s="28"/>
      <c r="X25" s="29"/>
      <c r="Y25" s="27" t="str">
        <f>IF(U25&lt;I25,"NG","OK")</f>
        <v>NG</v>
      </c>
      <c r="Z25" s="28"/>
      <c r="AA25" s="28"/>
      <c r="AB25" s="29"/>
      <c r="AC25" s="58"/>
      <c r="AD25" s="28"/>
      <c r="AE25" s="28"/>
      <c r="AF25" s="28"/>
      <c r="AG25" s="28"/>
      <c r="AH25" s="28"/>
      <c r="AI25" s="28"/>
      <c r="AJ25" s="28"/>
      <c r="AK25" s="28"/>
      <c r="AL25" s="28"/>
      <c r="AM25" s="29"/>
      <c r="AN25" s="3"/>
    </row>
    <row r="26" spans="1:40" ht="24" customHeight="1" x14ac:dyDescent="0.2">
      <c r="A26" s="1"/>
      <c r="B26" s="8" t="s">
        <v>36</v>
      </c>
      <c r="AN26" s="3"/>
    </row>
    <row r="27" spans="1:40" ht="24" customHeight="1" thickBot="1" x14ac:dyDescent="0.25">
      <c r="A27" s="1"/>
      <c r="AN27" s="3"/>
    </row>
    <row r="28" spans="1:40" ht="24" customHeight="1" thickBot="1" x14ac:dyDescent="0.25">
      <c r="A28" s="1"/>
      <c r="B28" s="49" t="s">
        <v>37</v>
      </c>
      <c r="C28" s="32"/>
      <c r="D28" s="86">
        <v>2</v>
      </c>
      <c r="E28" s="31"/>
      <c r="F28" s="31"/>
      <c r="G28" s="32"/>
      <c r="H28" s="50">
        <v>3</v>
      </c>
      <c r="I28" s="31"/>
      <c r="J28" s="31"/>
      <c r="K28" s="32"/>
      <c r="L28" s="50">
        <v>4</v>
      </c>
      <c r="M28" s="31"/>
      <c r="N28" s="31"/>
      <c r="O28" s="32"/>
      <c r="P28" s="50">
        <v>5</v>
      </c>
      <c r="Q28" s="31"/>
      <c r="R28" s="31"/>
      <c r="S28" s="32"/>
      <c r="T28" s="50">
        <v>6</v>
      </c>
      <c r="U28" s="31"/>
      <c r="V28" s="31"/>
      <c r="W28" s="32"/>
      <c r="X28" s="50">
        <v>7</v>
      </c>
      <c r="Y28" s="31"/>
      <c r="Z28" s="31"/>
      <c r="AA28" s="32"/>
      <c r="AB28" s="50">
        <v>8</v>
      </c>
      <c r="AC28" s="31"/>
      <c r="AD28" s="31"/>
      <c r="AE28" s="32"/>
      <c r="AF28" s="50">
        <v>9</v>
      </c>
      <c r="AG28" s="31"/>
      <c r="AH28" s="31"/>
      <c r="AI28" s="32"/>
      <c r="AJ28" s="50">
        <v>10</v>
      </c>
      <c r="AK28" s="31"/>
      <c r="AL28" s="31"/>
      <c r="AM28" s="32"/>
      <c r="AN28" s="3"/>
    </row>
    <row r="29" spans="1:40" ht="24" customHeight="1" x14ac:dyDescent="0.2">
      <c r="A29" s="1"/>
      <c r="B29" s="56" t="s">
        <v>38</v>
      </c>
      <c r="C29" s="26"/>
      <c r="D29" s="10"/>
      <c r="E29" s="11"/>
      <c r="F29" s="11"/>
      <c r="G29" s="16"/>
      <c r="H29" s="15"/>
      <c r="I29" s="11"/>
      <c r="J29" s="11"/>
      <c r="K29" s="16"/>
      <c r="L29" s="15"/>
      <c r="M29" s="11"/>
      <c r="N29" s="11"/>
      <c r="O29" s="16"/>
      <c r="P29" s="15"/>
      <c r="Q29" s="11"/>
      <c r="R29" s="11"/>
      <c r="S29" s="16"/>
      <c r="T29" s="15"/>
      <c r="U29" s="11"/>
      <c r="V29" s="11"/>
      <c r="W29" s="16"/>
      <c r="X29" s="15"/>
      <c r="Y29" s="11"/>
      <c r="Z29" s="11"/>
      <c r="AA29" s="16"/>
      <c r="AB29" s="15"/>
      <c r="AC29" s="11"/>
      <c r="AD29" s="11"/>
      <c r="AE29" s="16"/>
      <c r="AF29" s="15"/>
      <c r="AG29" s="11"/>
      <c r="AH29" s="11"/>
      <c r="AI29" s="16"/>
      <c r="AJ29" s="15"/>
      <c r="AK29" s="11"/>
      <c r="AL29" s="11"/>
      <c r="AM29" s="12"/>
      <c r="AN29" s="3"/>
    </row>
    <row r="30" spans="1:40" ht="24" customHeight="1" x14ac:dyDescent="0.2">
      <c r="A30" s="1"/>
      <c r="B30" s="57"/>
      <c r="C30" s="26"/>
      <c r="D30" s="67" t="str">
        <f>CONCATENATE(HLOOKUP($N$1,データ!$B$1:$I$39,31),"以上")</f>
        <v>590以上</v>
      </c>
      <c r="E30" s="25"/>
      <c r="F30" s="25"/>
      <c r="G30" s="26"/>
      <c r="H30" s="24" t="str">
        <f>CONCATENATE(HLOOKUP($N$1,データ!$B$1:$I$39,32),"以上")</f>
        <v>410以上</v>
      </c>
      <c r="I30" s="25"/>
      <c r="J30" s="25"/>
      <c r="K30" s="26"/>
      <c r="L30" s="24" t="str">
        <f>CONCATENATE(HLOOKUP($N$1,データ!$B$1:$I$39,33),"以上")</f>
        <v>310以上</v>
      </c>
      <c r="M30" s="25"/>
      <c r="N30" s="25"/>
      <c r="O30" s="26"/>
      <c r="P30" s="24" t="str">
        <f>CONCATENATE(HLOOKUP($N$1,データ!$B$1:$I$39,34),"以上")</f>
        <v>240以上</v>
      </c>
      <c r="Q30" s="25"/>
      <c r="R30" s="25"/>
      <c r="S30" s="26"/>
      <c r="T30" s="24" t="str">
        <f>CONCATENATE(HLOOKUP($N$1,データ!$B$1:$I$39,35),"以上")</f>
        <v>200以上</v>
      </c>
      <c r="U30" s="25"/>
      <c r="V30" s="25"/>
      <c r="W30" s="26"/>
      <c r="X30" s="24" t="str">
        <f>CONCATENATE(HLOOKUP($N$1,データ!$B$1:$I$39,36),"以上")</f>
        <v>160以上</v>
      </c>
      <c r="Y30" s="25"/>
      <c r="Z30" s="25"/>
      <c r="AA30" s="26"/>
      <c r="AB30" s="24" t="str">
        <f>CONCATENATE(HLOOKUP($N$1,データ!$B$1:$I$39,37),"以上")</f>
        <v>130以上</v>
      </c>
      <c r="AC30" s="25"/>
      <c r="AD30" s="25"/>
      <c r="AE30" s="26"/>
      <c r="AF30" s="24" t="str">
        <f>CONCATENATE(HLOOKUP($N$1,データ!$B$1:$I$39,38),"以上")</f>
        <v>100以上</v>
      </c>
      <c r="AG30" s="25"/>
      <c r="AH30" s="25"/>
      <c r="AI30" s="26"/>
      <c r="AJ30" s="68" t="str">
        <f>CONCATENATE(HLOOKUP($N$1,データ!$B$1:$I$39,39),"以上")</f>
        <v>80以上</v>
      </c>
      <c r="AK30" s="25"/>
      <c r="AL30" s="25"/>
      <c r="AM30" s="69"/>
      <c r="AN30" s="3"/>
    </row>
    <row r="31" spans="1:40" ht="24" customHeight="1" x14ac:dyDescent="0.2">
      <c r="A31" s="1"/>
      <c r="B31" s="57"/>
      <c r="C31" s="26"/>
      <c r="D31" s="1"/>
      <c r="G31" s="5"/>
      <c r="H31" s="6"/>
      <c r="K31" s="5"/>
      <c r="L31" s="6"/>
      <c r="O31" s="5"/>
      <c r="P31" s="6"/>
      <c r="S31" s="5"/>
      <c r="T31" s="6"/>
      <c r="W31" s="5"/>
      <c r="X31" s="6"/>
      <c r="AA31" s="5"/>
      <c r="AB31" s="6"/>
      <c r="AE31" s="5"/>
      <c r="AF31" s="6"/>
      <c r="AI31" s="5"/>
      <c r="AJ31" s="6"/>
      <c r="AM31" s="3"/>
      <c r="AN31" s="3"/>
    </row>
    <row r="32" spans="1:40" ht="24" customHeight="1" x14ac:dyDescent="0.2">
      <c r="A32" s="1"/>
      <c r="B32" s="57"/>
      <c r="C32" s="26"/>
      <c r="D32" s="67" t="str">
        <f>CONCATENATE(HLOOKUP($N$1,データ!$B$1:$I$39,30),"未満")</f>
        <v>1300未満</v>
      </c>
      <c r="E32" s="25"/>
      <c r="F32" s="25"/>
      <c r="G32" s="26"/>
      <c r="H32" s="24" t="str">
        <f>CONCATENATE(HLOOKUP($N$1,データ!$B$1:$I$39,31),"未満")</f>
        <v>590未満</v>
      </c>
      <c r="I32" s="25"/>
      <c r="J32" s="25"/>
      <c r="K32" s="26"/>
      <c r="L32" s="24" t="str">
        <f>CONCATENATE(HLOOKUP($N$1,データ!$B$1:$I$39,32),"未満")</f>
        <v>410未満</v>
      </c>
      <c r="M32" s="25"/>
      <c r="N32" s="25"/>
      <c r="O32" s="26"/>
      <c r="P32" s="24" t="str">
        <f>CONCATENATE(HLOOKUP($N$1,データ!$B$1:$I$39,33),"未満")</f>
        <v>310未満</v>
      </c>
      <c r="Q32" s="25"/>
      <c r="R32" s="25"/>
      <c r="S32" s="26"/>
      <c r="T32" s="24" t="str">
        <f>CONCATENATE(HLOOKUP($N$1,データ!$B$1:$I$39,34),"未満")</f>
        <v>240未満</v>
      </c>
      <c r="U32" s="25"/>
      <c r="V32" s="25"/>
      <c r="W32" s="26"/>
      <c r="X32" s="24" t="str">
        <f>CONCATENATE(HLOOKUP($N$1,データ!$B$1:$I$39,35),"未満")</f>
        <v>200未満</v>
      </c>
      <c r="Y32" s="25"/>
      <c r="Z32" s="25"/>
      <c r="AA32" s="26"/>
      <c r="AB32" s="24" t="str">
        <f>CONCATENATE(HLOOKUP($N$1,データ!$B$1:$I$39,36),"未満")</f>
        <v>160未満</v>
      </c>
      <c r="AC32" s="25"/>
      <c r="AD32" s="25"/>
      <c r="AE32" s="26"/>
      <c r="AF32" s="24" t="str">
        <f>CONCATENATE(HLOOKUP($N$1,データ!$B$1:$I$39,37),"未満")</f>
        <v>130未満</v>
      </c>
      <c r="AG32" s="25"/>
      <c r="AH32" s="25"/>
      <c r="AI32" s="26"/>
      <c r="AJ32" s="68" t="str">
        <f>CONCATENATE(HLOOKUP($N$1,データ!$B$1:$I$39,38),"未満")</f>
        <v>100未満</v>
      </c>
      <c r="AK32" s="25"/>
      <c r="AL32" s="25"/>
      <c r="AM32" s="69"/>
      <c r="AN32" s="3"/>
    </row>
    <row r="33" spans="1:40" ht="24" customHeight="1" thickBot="1" x14ac:dyDescent="0.25">
      <c r="A33" s="1"/>
      <c r="B33" s="45"/>
      <c r="C33" s="38"/>
      <c r="D33" s="17"/>
      <c r="E33" s="7"/>
      <c r="F33" s="7"/>
      <c r="G33" s="18"/>
      <c r="H33" s="19"/>
      <c r="I33" s="7"/>
      <c r="J33" s="7"/>
      <c r="K33" s="18"/>
      <c r="L33" s="19"/>
      <c r="M33" s="7"/>
      <c r="N33" s="7"/>
      <c r="O33" s="18"/>
      <c r="P33" s="19"/>
      <c r="Q33" s="7"/>
      <c r="R33" s="7"/>
      <c r="S33" s="18"/>
      <c r="T33" s="19"/>
      <c r="U33" s="7"/>
      <c r="V33" s="7"/>
      <c r="W33" s="18"/>
      <c r="X33" s="19"/>
      <c r="Y33" s="7"/>
      <c r="Z33" s="7"/>
      <c r="AA33" s="18"/>
      <c r="AB33" s="19"/>
      <c r="AC33" s="7"/>
      <c r="AD33" s="7"/>
      <c r="AE33" s="18"/>
      <c r="AF33" s="19"/>
      <c r="AG33" s="7"/>
      <c r="AH33" s="7"/>
      <c r="AI33" s="18"/>
      <c r="AJ33" s="19"/>
      <c r="AK33" s="7"/>
      <c r="AL33" s="7"/>
      <c r="AM33" s="20"/>
      <c r="AN33" s="3"/>
    </row>
    <row r="34" spans="1:40" ht="24" customHeight="1" x14ac:dyDescent="0.2">
      <c r="A34" s="1"/>
      <c r="B34" s="71" t="s">
        <v>39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3"/>
    </row>
    <row r="35" spans="1:40" ht="24" customHeight="1" x14ac:dyDescent="0.2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3"/>
    </row>
    <row r="36" spans="1:40" ht="24" customHeight="1" x14ac:dyDescent="0.2">
      <c r="A36" s="1"/>
      <c r="B36" s="8" t="s">
        <v>40</v>
      </c>
      <c r="AN36" s="3"/>
    </row>
    <row r="37" spans="1:40" ht="24" customHeight="1" thickBot="1" x14ac:dyDescent="0.25">
      <c r="A37" s="1"/>
      <c r="AN37" s="3"/>
    </row>
    <row r="38" spans="1:40" ht="24" customHeight="1" thickBot="1" x14ac:dyDescent="0.25">
      <c r="A38" s="1"/>
      <c r="B38" s="49" t="s">
        <v>41</v>
      </c>
      <c r="C38" s="32"/>
      <c r="D38" s="83">
        <v>0.25</v>
      </c>
      <c r="E38" s="31"/>
      <c r="F38" s="31"/>
      <c r="G38" s="32"/>
      <c r="H38" s="30">
        <v>0.5</v>
      </c>
      <c r="I38" s="31"/>
      <c r="J38" s="31"/>
      <c r="K38" s="32"/>
      <c r="L38" s="30">
        <v>0.75</v>
      </c>
      <c r="M38" s="31"/>
      <c r="N38" s="31"/>
      <c r="O38" s="32"/>
      <c r="P38" s="30">
        <v>1</v>
      </c>
      <c r="Q38" s="31"/>
      <c r="R38" s="31"/>
      <c r="S38" s="32"/>
      <c r="T38" s="30">
        <v>1.25</v>
      </c>
      <c r="U38" s="31"/>
      <c r="V38" s="31"/>
      <c r="W38" s="32"/>
      <c r="X38" s="30">
        <v>1.5</v>
      </c>
      <c r="Y38" s="31"/>
      <c r="Z38" s="31"/>
      <c r="AA38" s="32"/>
      <c r="AB38" s="30">
        <v>1.75</v>
      </c>
      <c r="AC38" s="31"/>
      <c r="AD38" s="31"/>
      <c r="AE38" s="32"/>
      <c r="AF38" s="30">
        <v>2</v>
      </c>
      <c r="AG38" s="31"/>
      <c r="AH38" s="31"/>
      <c r="AI38" s="32"/>
      <c r="AJ38" s="30">
        <v>2.25</v>
      </c>
      <c r="AK38" s="31"/>
      <c r="AL38" s="31"/>
      <c r="AM38" s="32"/>
      <c r="AN38" s="3"/>
    </row>
    <row r="39" spans="1:40" ht="24" customHeight="1" x14ac:dyDescent="0.2">
      <c r="A39" s="1"/>
      <c r="B39" s="56" t="s">
        <v>38</v>
      </c>
      <c r="C39" s="26"/>
      <c r="D39" s="82" t="s">
        <v>42</v>
      </c>
      <c r="E39" s="54"/>
      <c r="F39" s="54"/>
      <c r="G39" s="55"/>
      <c r="H39" s="53" t="s">
        <v>43</v>
      </c>
      <c r="I39" s="54"/>
      <c r="J39" s="54"/>
      <c r="K39" s="55"/>
      <c r="L39" s="53" t="s">
        <v>44</v>
      </c>
      <c r="M39" s="54"/>
      <c r="N39" s="54"/>
      <c r="O39" s="55"/>
      <c r="P39" s="53" t="s">
        <v>45</v>
      </c>
      <c r="Q39" s="54"/>
      <c r="R39" s="54"/>
      <c r="S39" s="55"/>
      <c r="T39" s="53" t="s">
        <v>46</v>
      </c>
      <c r="U39" s="54"/>
      <c r="V39" s="54"/>
      <c r="W39" s="55"/>
      <c r="X39" s="53" t="s">
        <v>47</v>
      </c>
      <c r="Y39" s="54"/>
      <c r="Z39" s="54"/>
      <c r="AA39" s="55"/>
      <c r="AB39" s="53" t="s">
        <v>48</v>
      </c>
      <c r="AC39" s="54"/>
      <c r="AD39" s="54"/>
      <c r="AE39" s="55"/>
      <c r="AF39" s="53" t="s">
        <v>49</v>
      </c>
      <c r="AG39" s="54"/>
      <c r="AH39" s="54"/>
      <c r="AI39" s="55"/>
      <c r="AJ39" s="53" t="s">
        <v>50</v>
      </c>
      <c r="AK39" s="54"/>
      <c r="AL39" s="54"/>
      <c r="AM39" s="55"/>
      <c r="AN39" s="3"/>
    </row>
    <row r="40" spans="1:40" ht="24" customHeight="1" x14ac:dyDescent="0.2">
      <c r="A40" s="1"/>
      <c r="B40" s="57"/>
      <c r="C40" s="26"/>
      <c r="D40" s="96" t="s">
        <v>51</v>
      </c>
      <c r="E40" s="25"/>
      <c r="F40" s="25"/>
      <c r="G40" s="26"/>
      <c r="H40" s="42" t="s">
        <v>52</v>
      </c>
      <c r="I40" s="25"/>
      <c r="J40" s="25"/>
      <c r="K40" s="26"/>
      <c r="L40" s="42" t="s">
        <v>53</v>
      </c>
      <c r="M40" s="25"/>
      <c r="N40" s="25"/>
      <c r="O40" s="26"/>
      <c r="P40" s="42" t="s">
        <v>54</v>
      </c>
      <c r="Q40" s="25"/>
      <c r="R40" s="25"/>
      <c r="S40" s="26"/>
      <c r="T40" s="24"/>
      <c r="U40" s="25"/>
      <c r="V40" s="25"/>
      <c r="W40" s="26"/>
      <c r="X40" s="24"/>
      <c r="Y40" s="25"/>
      <c r="Z40" s="25"/>
      <c r="AA40" s="26"/>
      <c r="AB40" s="24"/>
      <c r="AC40" s="25"/>
      <c r="AD40" s="25"/>
      <c r="AE40" s="26"/>
      <c r="AF40" s="24"/>
      <c r="AG40" s="25"/>
      <c r="AH40" s="25"/>
      <c r="AI40" s="26"/>
      <c r="AJ40" s="24"/>
      <c r="AK40" s="25"/>
      <c r="AL40" s="25"/>
      <c r="AM40" s="26"/>
      <c r="AN40" s="3"/>
    </row>
    <row r="41" spans="1:40" ht="24" customHeight="1" x14ac:dyDescent="0.2">
      <c r="A41" s="1"/>
      <c r="B41" s="57"/>
      <c r="C41" s="26"/>
      <c r="D41" s="67"/>
      <c r="E41" s="25"/>
      <c r="F41" s="25"/>
      <c r="G41" s="26"/>
      <c r="H41" s="24"/>
      <c r="I41" s="25"/>
      <c r="J41" s="25"/>
      <c r="K41" s="26"/>
      <c r="L41" s="24"/>
      <c r="M41" s="25"/>
      <c r="N41" s="25"/>
      <c r="O41" s="26"/>
      <c r="P41" s="24"/>
      <c r="Q41" s="25"/>
      <c r="R41" s="25"/>
      <c r="S41" s="26"/>
      <c r="T41" s="24"/>
      <c r="U41" s="25"/>
      <c r="V41" s="25"/>
      <c r="W41" s="26"/>
      <c r="X41" s="24"/>
      <c r="Y41" s="25"/>
      <c r="Z41" s="25"/>
      <c r="AA41" s="26"/>
      <c r="AB41" s="24"/>
      <c r="AC41" s="25"/>
      <c r="AD41" s="25"/>
      <c r="AE41" s="26"/>
      <c r="AF41" s="24"/>
      <c r="AG41" s="25"/>
      <c r="AH41" s="25"/>
      <c r="AI41" s="26"/>
      <c r="AJ41" s="24"/>
      <c r="AK41" s="25"/>
      <c r="AL41" s="25"/>
      <c r="AM41" s="26"/>
      <c r="AN41" s="3"/>
    </row>
    <row r="42" spans="1:40" ht="24" customHeight="1" x14ac:dyDescent="0.2">
      <c r="A42" s="1"/>
      <c r="B42" s="57"/>
      <c r="C42" s="26"/>
      <c r="D42" s="67" t="s">
        <v>55</v>
      </c>
      <c r="E42" s="25"/>
      <c r="F42" s="25"/>
      <c r="G42" s="26"/>
      <c r="H42" s="24" t="s">
        <v>56</v>
      </c>
      <c r="I42" s="25"/>
      <c r="J42" s="25"/>
      <c r="K42" s="26"/>
      <c r="L42" s="24" t="s">
        <v>57</v>
      </c>
      <c r="M42" s="25"/>
      <c r="N42" s="25"/>
      <c r="O42" s="26"/>
      <c r="P42" s="24" t="s">
        <v>58</v>
      </c>
      <c r="Q42" s="25"/>
      <c r="R42" s="25"/>
      <c r="S42" s="26"/>
      <c r="T42" s="24" t="s">
        <v>59</v>
      </c>
      <c r="U42" s="25"/>
      <c r="V42" s="25"/>
      <c r="W42" s="26"/>
      <c r="X42" s="24" t="s">
        <v>60</v>
      </c>
      <c r="Y42" s="25"/>
      <c r="Z42" s="25"/>
      <c r="AA42" s="26"/>
      <c r="AB42" s="24" t="s">
        <v>61</v>
      </c>
      <c r="AC42" s="25"/>
      <c r="AD42" s="25"/>
      <c r="AE42" s="26"/>
      <c r="AF42" s="24" t="s">
        <v>62</v>
      </c>
      <c r="AG42" s="25"/>
      <c r="AH42" s="25"/>
      <c r="AI42" s="26"/>
      <c r="AJ42" s="24" t="s">
        <v>63</v>
      </c>
      <c r="AK42" s="25"/>
      <c r="AL42" s="25"/>
      <c r="AM42" s="26"/>
      <c r="AN42" s="3"/>
    </row>
    <row r="43" spans="1:40" ht="24" customHeight="1" thickBot="1" x14ac:dyDescent="0.25">
      <c r="A43" s="1"/>
      <c r="B43" s="45"/>
      <c r="C43" s="38"/>
      <c r="D43" s="93" t="s">
        <v>64</v>
      </c>
      <c r="E43" s="62"/>
      <c r="F43" s="62"/>
      <c r="G43" s="65"/>
      <c r="H43" s="64" t="s">
        <v>51</v>
      </c>
      <c r="I43" s="62"/>
      <c r="J43" s="62"/>
      <c r="K43" s="65"/>
      <c r="L43" s="64" t="s">
        <v>52</v>
      </c>
      <c r="M43" s="62"/>
      <c r="N43" s="62"/>
      <c r="O43" s="65"/>
      <c r="P43" s="64" t="s">
        <v>53</v>
      </c>
      <c r="Q43" s="62"/>
      <c r="R43" s="62"/>
      <c r="S43" s="65"/>
      <c r="T43" s="66"/>
      <c r="U43" s="62"/>
      <c r="V43" s="62"/>
      <c r="W43" s="65"/>
      <c r="X43" s="66"/>
      <c r="Y43" s="62"/>
      <c r="Z43" s="62"/>
      <c r="AA43" s="65"/>
      <c r="AB43" s="66"/>
      <c r="AC43" s="62"/>
      <c r="AD43" s="62"/>
      <c r="AE43" s="65"/>
      <c r="AF43" s="66"/>
      <c r="AG43" s="62"/>
      <c r="AH43" s="62"/>
      <c r="AI43" s="65"/>
      <c r="AJ43" s="66"/>
      <c r="AK43" s="62"/>
      <c r="AL43" s="62"/>
      <c r="AM43" s="65"/>
      <c r="AN43" s="3"/>
    </row>
    <row r="44" spans="1:40" ht="24" customHeight="1" thickBot="1" x14ac:dyDescent="0.25">
      <c r="A44" s="17"/>
      <c r="B44" s="7" t="s">
        <v>65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20"/>
    </row>
  </sheetData>
  <mergeCells count="212">
    <mergeCell ref="AB43:AE43"/>
    <mergeCell ref="H32:K32"/>
    <mergeCell ref="D43:G43"/>
    <mergeCell ref="B10:E10"/>
    <mergeCell ref="U6:X7"/>
    <mergeCell ref="L41:O41"/>
    <mergeCell ref="T1:Y1"/>
    <mergeCell ref="Z1:AB1"/>
    <mergeCell ref="AF39:AI39"/>
    <mergeCell ref="P38:S38"/>
    <mergeCell ref="N1:O1"/>
    <mergeCell ref="T32:W32"/>
    <mergeCell ref="B6:E7"/>
    <mergeCell ref="Q18:T18"/>
    <mergeCell ref="D40:G40"/>
    <mergeCell ref="P40:S40"/>
    <mergeCell ref="I24:N24"/>
    <mergeCell ref="B13:E14"/>
    <mergeCell ref="AB30:AE30"/>
    <mergeCell ref="T30:W30"/>
    <mergeCell ref="I8:N8"/>
    <mergeCell ref="AC12:AM12"/>
    <mergeCell ref="AC19:AM20"/>
    <mergeCell ref="X39:AA39"/>
    <mergeCell ref="P1:R1"/>
    <mergeCell ref="B8:E8"/>
    <mergeCell ref="O24:T24"/>
    <mergeCell ref="Y17:AB17"/>
    <mergeCell ref="AC6:AM6"/>
    <mergeCell ref="AC7:AM7"/>
    <mergeCell ref="F11:H12"/>
    <mergeCell ref="AC16:AM16"/>
    <mergeCell ref="D30:G30"/>
    <mergeCell ref="Y21:AB22"/>
    <mergeCell ref="O22:T22"/>
    <mergeCell ref="AB28:AE28"/>
    <mergeCell ref="T28:W28"/>
    <mergeCell ref="Y23:AB23"/>
    <mergeCell ref="O21:T21"/>
    <mergeCell ref="AC9:AM10"/>
    <mergeCell ref="F6:H7"/>
    <mergeCell ref="H30:K30"/>
    <mergeCell ref="Y19:AB20"/>
    <mergeCell ref="H1:M1"/>
    <mergeCell ref="B4:E5"/>
    <mergeCell ref="F4:H5"/>
    <mergeCell ref="I6:N6"/>
    <mergeCell ref="I15:N15"/>
    <mergeCell ref="AF43:AI43"/>
    <mergeCell ref="L32:O32"/>
    <mergeCell ref="H43:K43"/>
    <mergeCell ref="T38:W38"/>
    <mergeCell ref="O8:T8"/>
    <mergeCell ref="AC14:AM14"/>
    <mergeCell ref="X32:AA32"/>
    <mergeCell ref="P41:S41"/>
    <mergeCell ref="I19:N19"/>
    <mergeCell ref="AB32:AE32"/>
    <mergeCell ref="H40:K40"/>
    <mergeCell ref="AB41:AE41"/>
    <mergeCell ref="F21:H22"/>
    <mergeCell ref="L43:O43"/>
    <mergeCell ref="O19:T19"/>
    <mergeCell ref="F16:H16"/>
    <mergeCell ref="I11:N11"/>
    <mergeCell ref="T40:W40"/>
    <mergeCell ref="F9:H10"/>
    <mergeCell ref="D28:G28"/>
    <mergeCell ref="I20:N20"/>
    <mergeCell ref="B18:E18"/>
    <mergeCell ref="Y13:AB14"/>
    <mergeCell ref="AJ39:AM39"/>
    <mergeCell ref="AF42:AI42"/>
    <mergeCell ref="U24:X24"/>
    <mergeCell ref="I7:N7"/>
    <mergeCell ref="U18:X18"/>
    <mergeCell ref="H28:K28"/>
    <mergeCell ref="I17:L17"/>
    <mergeCell ref="D39:G39"/>
    <mergeCell ref="U8:X8"/>
    <mergeCell ref="C19:E20"/>
    <mergeCell ref="B15:E15"/>
    <mergeCell ref="P30:S30"/>
    <mergeCell ref="B24:E24"/>
    <mergeCell ref="D38:G38"/>
    <mergeCell ref="O16:T16"/>
    <mergeCell ref="AF28:AI28"/>
    <mergeCell ref="L42:O42"/>
    <mergeCell ref="F25:H25"/>
    <mergeCell ref="X28:AA28"/>
    <mergeCell ref="X42:AA42"/>
    <mergeCell ref="H38:K38"/>
    <mergeCell ref="AB40:AE40"/>
    <mergeCell ref="U17:X17"/>
    <mergeCell ref="D32:G32"/>
    <mergeCell ref="AC24:AM24"/>
    <mergeCell ref="AB39:AE39"/>
    <mergeCell ref="Y16:AB16"/>
    <mergeCell ref="U9:X10"/>
    <mergeCell ref="AJ30:AM30"/>
    <mergeCell ref="L38:O38"/>
    <mergeCell ref="Y25:AB25"/>
    <mergeCell ref="AC11:AM11"/>
    <mergeCell ref="P32:S32"/>
    <mergeCell ref="X38:AA38"/>
    <mergeCell ref="AJ38:AM38"/>
    <mergeCell ref="AF41:AI41"/>
    <mergeCell ref="X41:AA41"/>
    <mergeCell ref="F18:H18"/>
    <mergeCell ref="I22:N22"/>
    <mergeCell ref="L39:O39"/>
    <mergeCell ref="L30:O30"/>
    <mergeCell ref="AF30:AI30"/>
    <mergeCell ref="X30:AA30"/>
    <mergeCell ref="U4:X5"/>
    <mergeCell ref="O12:T12"/>
    <mergeCell ref="U15:X15"/>
    <mergeCell ref="Y15:AB15"/>
    <mergeCell ref="P39:S39"/>
    <mergeCell ref="F13:H14"/>
    <mergeCell ref="F23:H23"/>
    <mergeCell ref="Y8:AB8"/>
    <mergeCell ref="Y6:AB7"/>
    <mergeCell ref="F15:H15"/>
    <mergeCell ref="F24:H24"/>
    <mergeCell ref="P43:S43"/>
    <mergeCell ref="I9:N10"/>
    <mergeCell ref="T43:W43"/>
    <mergeCell ref="D42:G42"/>
    <mergeCell ref="AF38:AI38"/>
    <mergeCell ref="O25:T25"/>
    <mergeCell ref="Y11:AB12"/>
    <mergeCell ref="AJ32:AM32"/>
    <mergeCell ref="AC13:AM13"/>
    <mergeCell ref="AJ41:AM41"/>
    <mergeCell ref="B34:AM35"/>
    <mergeCell ref="X43:AA43"/>
    <mergeCell ref="AC21:AM22"/>
    <mergeCell ref="B16:E16"/>
    <mergeCell ref="B25:E25"/>
    <mergeCell ref="X40:AA40"/>
    <mergeCell ref="AC15:AM15"/>
    <mergeCell ref="AJ43:AM43"/>
    <mergeCell ref="B19:B22"/>
    <mergeCell ref="AC23:AM23"/>
    <mergeCell ref="O11:T11"/>
    <mergeCell ref="B28:C28"/>
    <mergeCell ref="C21:E22"/>
    <mergeCell ref="B17:E17"/>
    <mergeCell ref="B29:C33"/>
    <mergeCell ref="U19:X20"/>
    <mergeCell ref="I18:L18"/>
    <mergeCell ref="O15:T15"/>
    <mergeCell ref="P42:S42"/>
    <mergeCell ref="I21:N21"/>
    <mergeCell ref="H42:K42"/>
    <mergeCell ref="AB42:AE42"/>
    <mergeCell ref="AC4:AM5"/>
    <mergeCell ref="AF40:AI40"/>
    <mergeCell ref="Q17:T17"/>
    <mergeCell ref="Y4:AB5"/>
    <mergeCell ref="I4:N5"/>
    <mergeCell ref="O20:T20"/>
    <mergeCell ref="B9:E9"/>
    <mergeCell ref="P28:S28"/>
    <mergeCell ref="T39:W39"/>
    <mergeCell ref="O4:T5"/>
    <mergeCell ref="O13:T13"/>
    <mergeCell ref="O7:T7"/>
    <mergeCell ref="O6:T6"/>
    <mergeCell ref="O9:T10"/>
    <mergeCell ref="U13:X14"/>
    <mergeCell ref="I14:N14"/>
    <mergeCell ref="F8:H8"/>
    <mergeCell ref="F17:H17"/>
    <mergeCell ref="B11:E12"/>
    <mergeCell ref="I12:N12"/>
    <mergeCell ref="U23:X23"/>
    <mergeCell ref="AC8:AM8"/>
    <mergeCell ref="I16:N16"/>
    <mergeCell ref="M18:P18"/>
    <mergeCell ref="AJ42:AM42"/>
    <mergeCell ref="Y24:AB24"/>
    <mergeCell ref="B38:C38"/>
    <mergeCell ref="L28:O28"/>
    <mergeCell ref="O14:T14"/>
    <mergeCell ref="U21:X22"/>
    <mergeCell ref="AC17:AM18"/>
    <mergeCell ref="T42:W42"/>
    <mergeCell ref="O23:T23"/>
    <mergeCell ref="H39:K39"/>
    <mergeCell ref="B39:C43"/>
    <mergeCell ref="AC25:AM25"/>
    <mergeCell ref="U16:X16"/>
    <mergeCell ref="U25:X25"/>
    <mergeCell ref="AJ28:AM28"/>
    <mergeCell ref="B23:E23"/>
    <mergeCell ref="AJ40:AM40"/>
    <mergeCell ref="I25:N25"/>
    <mergeCell ref="T41:W41"/>
    <mergeCell ref="AB38:AE38"/>
    <mergeCell ref="U11:X12"/>
    <mergeCell ref="Y18:AB18"/>
    <mergeCell ref="AF32:AI32"/>
    <mergeCell ref="Y9:AB10"/>
    <mergeCell ref="M17:P17"/>
    <mergeCell ref="L40:O40"/>
    <mergeCell ref="H41:K41"/>
    <mergeCell ref="F19:H20"/>
    <mergeCell ref="I23:N23"/>
    <mergeCell ref="I13:N13"/>
    <mergeCell ref="D41:G41"/>
  </mergeCells>
  <phoneticPr fontId="2"/>
  <dataValidations count="2">
    <dataValidation type="list" allowBlank="1" showInputMessage="1" showErrorMessage="1" sqref="N1:O1" xr:uid="{00000000-0002-0000-0000-000000000000}">
      <formula1>$C$2:$J$2</formula1>
    </dataValidation>
    <dataValidation type="list" allowBlank="1" showInputMessage="1" showErrorMessage="1" sqref="Z1:AB1" xr:uid="{EABD8A4E-7E05-46A6-BB16-076AF4177DD0}">
      <formula1>"FALSE,TRUE"</formula1>
    </dataValidation>
  </dataValidations>
  <pageMargins left="0.75" right="0.21" top="0.51" bottom="0.55000000000000004" header="0.2" footer="0.38"/>
  <pageSetup paperSize="9" scale="78" orientation="portrait" horizontalDpi="4294967292" verticalDpi="300" r:id="rId1"/>
  <headerFooter alignWithMargins="0">
    <oddFooter>&amp;R&amp;"ＭＳ 明朝,標準"株式会社  建設技術研究所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5"/>
  <sheetViews>
    <sheetView workbookViewId="0">
      <selection activeCell="B5" sqref="B5"/>
    </sheetView>
  </sheetViews>
  <sheetFormatPr defaultRowHeight="13" x14ac:dyDescent="0.2"/>
  <cols>
    <col min="1" max="1" width="40.1796875" style="23" bestFit="1" customWidth="1"/>
  </cols>
  <sheetData>
    <row r="1" spans="1:1" x14ac:dyDescent="0.2">
      <c r="A1" s="23" t="s">
        <v>10</v>
      </c>
    </row>
    <row r="2" spans="1:1" x14ac:dyDescent="0.2">
      <c r="A2" s="23" t="s">
        <v>13</v>
      </c>
    </row>
    <row r="3" spans="1:1" x14ac:dyDescent="0.2">
      <c r="A3" s="23" t="s">
        <v>66</v>
      </c>
    </row>
    <row r="4" spans="1:1" x14ac:dyDescent="0.2">
      <c r="A4" s="23" t="s">
        <v>67</v>
      </c>
    </row>
    <row r="5" spans="1:1" x14ac:dyDescent="0.2">
      <c r="A5" s="23" t="s">
        <v>68</v>
      </c>
    </row>
    <row r="6" spans="1:1" x14ac:dyDescent="0.2">
      <c r="A6" s="23" t="s">
        <v>20</v>
      </c>
    </row>
    <row r="7" spans="1:1" x14ac:dyDescent="0.2">
      <c r="A7" s="23" t="s">
        <v>23</v>
      </c>
    </row>
    <row r="8" spans="1:1" x14ac:dyDescent="0.2">
      <c r="A8" s="23" t="s">
        <v>24</v>
      </c>
    </row>
    <row r="9" spans="1:1" x14ac:dyDescent="0.2">
      <c r="A9" s="23" t="s">
        <v>69</v>
      </c>
    </row>
    <row r="10" spans="1:1" x14ac:dyDescent="0.2">
      <c r="A10" s="23" t="s">
        <v>70</v>
      </c>
    </row>
    <row r="11" spans="1:1" x14ac:dyDescent="0.2">
      <c r="A11" s="23" t="s">
        <v>71</v>
      </c>
    </row>
    <row r="12" spans="1:1" x14ac:dyDescent="0.2">
      <c r="A12" s="23" t="s">
        <v>72</v>
      </c>
    </row>
    <row r="13" spans="1:1" x14ac:dyDescent="0.2">
      <c r="A13" s="23" t="s">
        <v>33</v>
      </c>
    </row>
    <row r="14" spans="1:1" x14ac:dyDescent="0.2">
      <c r="A14" s="23" t="s">
        <v>34</v>
      </c>
    </row>
    <row r="15" spans="1:1" x14ac:dyDescent="0.2">
      <c r="A15" s="23" t="s">
        <v>35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9"/>
  <sheetViews>
    <sheetView workbookViewId="0">
      <selection activeCell="A16" sqref="A16"/>
    </sheetView>
  </sheetViews>
  <sheetFormatPr defaultRowHeight="13" x14ac:dyDescent="0.2"/>
  <cols>
    <col min="1" max="1" width="35.90625" bestFit="1" customWidth="1"/>
  </cols>
  <sheetData>
    <row r="1" spans="1:9" x14ac:dyDescent="0.2">
      <c r="A1" t="s">
        <v>73</v>
      </c>
      <c r="B1">
        <v>20</v>
      </c>
      <c r="C1">
        <v>30</v>
      </c>
      <c r="D1">
        <v>40</v>
      </c>
      <c r="E1">
        <v>50</v>
      </c>
      <c r="F1">
        <v>60</v>
      </c>
      <c r="G1">
        <v>80</v>
      </c>
      <c r="H1">
        <v>100</v>
      </c>
      <c r="I1">
        <v>120</v>
      </c>
    </row>
    <row r="2" spans="1:9" x14ac:dyDescent="0.2">
      <c r="A2" t="s">
        <v>74</v>
      </c>
      <c r="B2">
        <v>30</v>
      </c>
      <c r="C2">
        <v>65</v>
      </c>
      <c r="D2">
        <v>100</v>
      </c>
      <c r="E2">
        <v>150</v>
      </c>
      <c r="F2">
        <v>200</v>
      </c>
      <c r="G2">
        <v>400</v>
      </c>
      <c r="H2">
        <v>700</v>
      </c>
      <c r="I2">
        <v>1000</v>
      </c>
    </row>
    <row r="3" spans="1:9" x14ac:dyDescent="0.2">
      <c r="A3" t="s">
        <v>75</v>
      </c>
      <c r="B3">
        <v>15</v>
      </c>
      <c r="C3">
        <v>30</v>
      </c>
      <c r="D3">
        <v>60</v>
      </c>
      <c r="E3">
        <v>100</v>
      </c>
      <c r="F3">
        <v>150</v>
      </c>
      <c r="G3">
        <v>280</v>
      </c>
      <c r="H3">
        <v>460</v>
      </c>
      <c r="I3">
        <v>710</v>
      </c>
    </row>
    <row r="4" spans="1:9" x14ac:dyDescent="0.2">
      <c r="A4" t="s">
        <v>76</v>
      </c>
      <c r="B4" s="21" t="s">
        <v>28</v>
      </c>
      <c r="C4" s="21" t="s">
        <v>28</v>
      </c>
      <c r="D4">
        <v>50</v>
      </c>
      <c r="E4">
        <v>80</v>
      </c>
      <c r="F4">
        <v>120</v>
      </c>
      <c r="G4">
        <v>230</v>
      </c>
      <c r="H4">
        <v>380</v>
      </c>
      <c r="I4">
        <v>570</v>
      </c>
    </row>
    <row r="5" spans="1:9" x14ac:dyDescent="0.2">
      <c r="A5" t="s">
        <v>77</v>
      </c>
      <c r="B5">
        <v>20</v>
      </c>
      <c r="C5">
        <v>25</v>
      </c>
      <c r="D5">
        <v>35</v>
      </c>
      <c r="E5">
        <v>40</v>
      </c>
      <c r="F5">
        <v>50</v>
      </c>
      <c r="G5">
        <v>70</v>
      </c>
      <c r="H5">
        <v>85</v>
      </c>
      <c r="I5">
        <v>100</v>
      </c>
    </row>
    <row r="6" spans="1:9" x14ac:dyDescent="0.2">
      <c r="A6" t="s">
        <v>78</v>
      </c>
      <c r="B6" s="21" t="s">
        <v>28</v>
      </c>
      <c r="C6" s="21" t="s">
        <v>28</v>
      </c>
      <c r="D6">
        <v>500</v>
      </c>
      <c r="E6">
        <v>700</v>
      </c>
      <c r="F6">
        <v>1000</v>
      </c>
      <c r="G6">
        <v>2000</v>
      </c>
      <c r="H6">
        <v>3000</v>
      </c>
      <c r="I6">
        <v>4000</v>
      </c>
    </row>
    <row r="7" spans="1:9" x14ac:dyDescent="0.2">
      <c r="A7" t="s">
        <v>79</v>
      </c>
      <c r="B7">
        <v>60</v>
      </c>
      <c r="C7">
        <v>130</v>
      </c>
      <c r="D7">
        <v>250</v>
      </c>
      <c r="E7">
        <v>350</v>
      </c>
      <c r="F7">
        <v>500</v>
      </c>
      <c r="G7">
        <v>900</v>
      </c>
      <c r="H7">
        <v>1500</v>
      </c>
      <c r="I7">
        <v>2100</v>
      </c>
    </row>
    <row r="8" spans="1:9" x14ac:dyDescent="0.2">
      <c r="A8" t="s">
        <v>80</v>
      </c>
      <c r="B8">
        <v>280</v>
      </c>
      <c r="C8">
        <v>350</v>
      </c>
      <c r="D8">
        <v>500</v>
      </c>
      <c r="E8">
        <v>600</v>
      </c>
      <c r="F8">
        <v>700</v>
      </c>
      <c r="G8">
        <v>1000</v>
      </c>
      <c r="H8">
        <v>1200</v>
      </c>
      <c r="I8">
        <v>1400</v>
      </c>
    </row>
    <row r="9" spans="1:9" x14ac:dyDescent="0.2">
      <c r="A9" t="s">
        <v>81</v>
      </c>
      <c r="B9">
        <v>40</v>
      </c>
      <c r="C9">
        <v>50</v>
      </c>
      <c r="D9">
        <v>70</v>
      </c>
      <c r="E9">
        <v>80</v>
      </c>
      <c r="F9">
        <v>100</v>
      </c>
      <c r="G9">
        <v>140</v>
      </c>
      <c r="H9">
        <v>170</v>
      </c>
      <c r="I9">
        <v>200</v>
      </c>
    </row>
    <row r="10" spans="1:9" x14ac:dyDescent="0.2">
      <c r="A10" t="s">
        <v>82</v>
      </c>
      <c r="B10">
        <v>150</v>
      </c>
      <c r="C10">
        <v>350</v>
      </c>
      <c r="D10">
        <v>600</v>
      </c>
      <c r="E10">
        <v>1000</v>
      </c>
      <c r="F10">
        <v>1500</v>
      </c>
      <c r="G10">
        <v>2500</v>
      </c>
      <c r="H10">
        <v>4000</v>
      </c>
      <c r="I10">
        <v>5500</v>
      </c>
    </row>
    <row r="11" spans="1:9" x14ac:dyDescent="0.2">
      <c r="A11" t="s">
        <v>83</v>
      </c>
      <c r="B11">
        <v>200</v>
      </c>
      <c r="C11">
        <v>500</v>
      </c>
      <c r="D11">
        <v>800</v>
      </c>
      <c r="E11">
        <v>1300</v>
      </c>
      <c r="F11">
        <v>2000</v>
      </c>
      <c r="G11">
        <v>3500</v>
      </c>
      <c r="H11">
        <v>5000</v>
      </c>
      <c r="I11">
        <v>7500</v>
      </c>
    </row>
    <row r="12" spans="1:9" x14ac:dyDescent="0.2">
      <c r="A12" t="s">
        <v>84</v>
      </c>
      <c r="B12">
        <v>50</v>
      </c>
      <c r="C12">
        <v>75</v>
      </c>
      <c r="D12">
        <v>100</v>
      </c>
      <c r="E12">
        <v>115</v>
      </c>
      <c r="F12">
        <v>125</v>
      </c>
      <c r="G12">
        <v>150</v>
      </c>
      <c r="H12">
        <v>175</v>
      </c>
      <c r="I12">
        <v>200</v>
      </c>
    </row>
    <row r="13" spans="1:9" x14ac:dyDescent="0.2">
      <c r="A13" t="s">
        <v>85</v>
      </c>
      <c r="B13">
        <v>9</v>
      </c>
      <c r="C13">
        <v>8</v>
      </c>
      <c r="D13">
        <v>7</v>
      </c>
      <c r="E13">
        <v>6</v>
      </c>
      <c r="F13">
        <v>5</v>
      </c>
      <c r="G13">
        <v>4</v>
      </c>
      <c r="H13">
        <v>3</v>
      </c>
      <c r="I13">
        <v>2</v>
      </c>
    </row>
    <row r="14" spans="1:9" x14ac:dyDescent="0.2">
      <c r="A14" t="s">
        <v>86</v>
      </c>
      <c r="B14">
        <v>12</v>
      </c>
      <c r="C14">
        <v>11</v>
      </c>
      <c r="D14">
        <v>10</v>
      </c>
      <c r="E14">
        <v>9</v>
      </c>
      <c r="F14">
        <v>8</v>
      </c>
      <c r="G14">
        <v>7</v>
      </c>
      <c r="H14">
        <v>6</v>
      </c>
      <c r="I14">
        <v>5</v>
      </c>
    </row>
    <row r="15" spans="1:9" x14ac:dyDescent="0.2">
      <c r="A15" t="s">
        <v>102</v>
      </c>
      <c r="B15">
        <v>11</v>
      </c>
      <c r="C15">
        <v>10</v>
      </c>
      <c r="D15">
        <v>9</v>
      </c>
      <c r="E15">
        <v>8</v>
      </c>
      <c r="F15">
        <v>7</v>
      </c>
      <c r="G15">
        <v>6</v>
      </c>
      <c r="H15">
        <v>5</v>
      </c>
      <c r="I15">
        <v>4</v>
      </c>
    </row>
    <row r="16" spans="1:9" x14ac:dyDescent="0.2">
      <c r="D16">
        <v>8</v>
      </c>
      <c r="E16">
        <v>7</v>
      </c>
      <c r="F16">
        <v>6</v>
      </c>
      <c r="G16">
        <v>5</v>
      </c>
      <c r="H16">
        <v>4</v>
      </c>
      <c r="I16">
        <v>3</v>
      </c>
    </row>
    <row r="17" spans="1:9" x14ac:dyDescent="0.2">
      <c r="D17">
        <v>9</v>
      </c>
      <c r="E17">
        <v>8</v>
      </c>
      <c r="F17">
        <v>7</v>
      </c>
      <c r="G17">
        <v>6</v>
      </c>
      <c r="H17">
        <v>5</v>
      </c>
      <c r="I17">
        <v>4</v>
      </c>
    </row>
    <row r="18" spans="1:9" x14ac:dyDescent="0.2">
      <c r="D18">
        <v>10</v>
      </c>
      <c r="E18">
        <v>9</v>
      </c>
      <c r="F18">
        <v>8</v>
      </c>
      <c r="G18">
        <v>7</v>
      </c>
      <c r="H18">
        <v>6</v>
      </c>
      <c r="I18">
        <v>5</v>
      </c>
    </row>
    <row r="19" spans="1:9" x14ac:dyDescent="0.2">
      <c r="A19" t="s">
        <v>87</v>
      </c>
      <c r="B19" s="21" t="s">
        <v>28</v>
      </c>
      <c r="C19" s="21" t="s">
        <v>28</v>
      </c>
      <c r="D19">
        <v>400</v>
      </c>
      <c r="E19">
        <v>500</v>
      </c>
      <c r="F19">
        <v>500</v>
      </c>
      <c r="G19">
        <v>600</v>
      </c>
      <c r="H19">
        <v>700</v>
      </c>
      <c r="I19">
        <v>800</v>
      </c>
    </row>
    <row r="20" spans="1:9" x14ac:dyDescent="0.2">
      <c r="A20" t="s">
        <v>87</v>
      </c>
      <c r="B20" s="21" t="s">
        <v>28</v>
      </c>
      <c r="C20" s="21" t="s">
        <v>28</v>
      </c>
      <c r="D20">
        <v>300</v>
      </c>
      <c r="E20">
        <v>400</v>
      </c>
      <c r="F20">
        <v>400</v>
      </c>
      <c r="G20">
        <v>500</v>
      </c>
      <c r="H20">
        <v>500</v>
      </c>
      <c r="I20">
        <v>500</v>
      </c>
    </row>
    <row r="21" spans="1:9" x14ac:dyDescent="0.2">
      <c r="A21" t="s">
        <v>87</v>
      </c>
      <c r="B21" s="21" t="s">
        <v>28</v>
      </c>
      <c r="C21" s="21" t="s">
        <v>28</v>
      </c>
      <c r="D21">
        <v>200</v>
      </c>
      <c r="E21">
        <v>300</v>
      </c>
      <c r="F21">
        <v>300</v>
      </c>
      <c r="G21">
        <v>400</v>
      </c>
      <c r="H21">
        <v>400</v>
      </c>
      <c r="I21">
        <v>400</v>
      </c>
    </row>
    <row r="22" spans="1:9" x14ac:dyDescent="0.2">
      <c r="A22" t="s">
        <v>88</v>
      </c>
      <c r="B22">
        <v>200</v>
      </c>
      <c r="C22">
        <v>400</v>
      </c>
      <c r="D22">
        <v>700</v>
      </c>
      <c r="E22">
        <v>1200</v>
      </c>
      <c r="F22">
        <v>2000</v>
      </c>
      <c r="G22">
        <v>4500</v>
      </c>
      <c r="H22">
        <v>10000</v>
      </c>
      <c r="I22">
        <v>17000</v>
      </c>
    </row>
    <row r="23" spans="1:9" x14ac:dyDescent="0.2">
      <c r="A23" t="s">
        <v>89</v>
      </c>
      <c r="B23">
        <v>100</v>
      </c>
      <c r="C23">
        <v>250</v>
      </c>
      <c r="D23">
        <v>450</v>
      </c>
      <c r="E23">
        <v>800</v>
      </c>
      <c r="F23">
        <v>1400</v>
      </c>
      <c r="G23">
        <v>3000</v>
      </c>
      <c r="H23">
        <v>6500</v>
      </c>
      <c r="I23">
        <v>11000</v>
      </c>
    </row>
    <row r="24" spans="1:9" x14ac:dyDescent="0.2">
      <c r="A24" t="s">
        <v>90</v>
      </c>
      <c r="B24">
        <v>200</v>
      </c>
      <c r="C24">
        <v>400</v>
      </c>
      <c r="D24">
        <v>700</v>
      </c>
      <c r="E24">
        <v>1000</v>
      </c>
      <c r="F24">
        <v>1500</v>
      </c>
      <c r="G24">
        <v>3000</v>
      </c>
      <c r="H24">
        <v>4500</v>
      </c>
      <c r="I24">
        <v>6000</v>
      </c>
    </row>
    <row r="25" spans="1:9" x14ac:dyDescent="0.2">
      <c r="A25" t="s">
        <v>91</v>
      </c>
      <c r="B25">
        <v>100</v>
      </c>
      <c r="C25">
        <v>250</v>
      </c>
      <c r="D25">
        <v>450</v>
      </c>
      <c r="E25">
        <v>700</v>
      </c>
      <c r="F25">
        <v>1000</v>
      </c>
      <c r="G25">
        <v>2000</v>
      </c>
      <c r="H25">
        <v>3000</v>
      </c>
      <c r="I25">
        <v>4000</v>
      </c>
    </row>
    <row r="26" spans="1:9" x14ac:dyDescent="0.2">
      <c r="A26" t="s">
        <v>33</v>
      </c>
      <c r="B26">
        <v>20</v>
      </c>
      <c r="C26">
        <v>25</v>
      </c>
      <c r="D26">
        <v>35</v>
      </c>
      <c r="E26">
        <v>40</v>
      </c>
      <c r="F26">
        <v>50</v>
      </c>
      <c r="G26">
        <v>70</v>
      </c>
      <c r="H26">
        <v>85</v>
      </c>
      <c r="I26">
        <v>100</v>
      </c>
    </row>
    <row r="27" spans="1:9" x14ac:dyDescent="0.2">
      <c r="A27" t="s">
        <v>34</v>
      </c>
      <c r="B27">
        <v>20</v>
      </c>
      <c r="C27">
        <v>30</v>
      </c>
      <c r="D27">
        <v>40</v>
      </c>
      <c r="E27">
        <v>55</v>
      </c>
      <c r="F27">
        <v>75</v>
      </c>
      <c r="G27">
        <v>110</v>
      </c>
      <c r="H27">
        <v>160</v>
      </c>
      <c r="I27">
        <v>210</v>
      </c>
    </row>
    <row r="28" spans="1:9" x14ac:dyDescent="0.2">
      <c r="A28" t="s">
        <v>35</v>
      </c>
      <c r="B28">
        <v>11.5</v>
      </c>
      <c r="C28">
        <v>11.5</v>
      </c>
      <c r="D28">
        <v>11.5</v>
      </c>
      <c r="E28">
        <v>11.5</v>
      </c>
      <c r="F28">
        <v>10.5</v>
      </c>
      <c r="G28">
        <v>10.5</v>
      </c>
      <c r="H28">
        <v>10</v>
      </c>
      <c r="I28">
        <v>10</v>
      </c>
    </row>
    <row r="29" spans="1:9" x14ac:dyDescent="0.2">
      <c r="B29">
        <v>12.5</v>
      </c>
      <c r="C29">
        <v>12.5</v>
      </c>
    </row>
    <row r="30" spans="1:9" x14ac:dyDescent="0.2">
      <c r="A30" t="s">
        <v>92</v>
      </c>
      <c r="B30">
        <v>200</v>
      </c>
      <c r="C30">
        <v>500</v>
      </c>
      <c r="D30">
        <v>800</v>
      </c>
      <c r="E30">
        <v>1300</v>
      </c>
      <c r="F30">
        <v>2000</v>
      </c>
      <c r="G30">
        <v>3500</v>
      </c>
      <c r="H30">
        <v>5000</v>
      </c>
      <c r="I30">
        <v>7500</v>
      </c>
    </row>
    <row r="31" spans="1:9" x14ac:dyDescent="0.2">
      <c r="A31" t="s">
        <v>93</v>
      </c>
      <c r="B31">
        <v>100</v>
      </c>
      <c r="C31">
        <v>220</v>
      </c>
      <c r="D31">
        <v>400</v>
      </c>
      <c r="E31">
        <v>590</v>
      </c>
      <c r="F31">
        <v>800</v>
      </c>
      <c r="G31">
        <v>1240</v>
      </c>
      <c r="H31">
        <v>1700</v>
      </c>
      <c r="I31">
        <v>2300</v>
      </c>
    </row>
    <row r="32" spans="1:9" x14ac:dyDescent="0.2">
      <c r="A32" t="s">
        <v>94</v>
      </c>
      <c r="B32">
        <v>70</v>
      </c>
      <c r="C32">
        <v>150</v>
      </c>
      <c r="D32">
        <v>280</v>
      </c>
      <c r="E32">
        <v>410</v>
      </c>
      <c r="F32">
        <v>560</v>
      </c>
      <c r="G32">
        <v>870</v>
      </c>
      <c r="H32">
        <v>1210</v>
      </c>
      <c r="I32">
        <v>1660</v>
      </c>
    </row>
    <row r="33" spans="1:9" x14ac:dyDescent="0.2">
      <c r="A33" t="s">
        <v>95</v>
      </c>
      <c r="B33">
        <v>50</v>
      </c>
      <c r="C33">
        <v>110</v>
      </c>
      <c r="D33">
        <v>210</v>
      </c>
      <c r="E33">
        <v>310</v>
      </c>
      <c r="F33">
        <v>420</v>
      </c>
      <c r="G33">
        <v>670</v>
      </c>
      <c r="H33">
        <v>930</v>
      </c>
      <c r="I33">
        <v>1280</v>
      </c>
    </row>
    <row r="34" spans="1:9" x14ac:dyDescent="0.2">
      <c r="A34" t="s">
        <v>96</v>
      </c>
      <c r="B34">
        <v>40</v>
      </c>
      <c r="C34">
        <v>80</v>
      </c>
      <c r="D34">
        <v>160</v>
      </c>
      <c r="E34">
        <v>240</v>
      </c>
      <c r="F34">
        <v>330</v>
      </c>
      <c r="G34">
        <v>540</v>
      </c>
      <c r="H34">
        <v>760</v>
      </c>
      <c r="I34">
        <v>1030</v>
      </c>
    </row>
    <row r="35" spans="1:9" x14ac:dyDescent="0.2">
      <c r="A35" t="s">
        <v>97</v>
      </c>
      <c r="B35">
        <v>30</v>
      </c>
      <c r="C35">
        <v>60</v>
      </c>
      <c r="D35">
        <v>130</v>
      </c>
      <c r="E35">
        <v>200</v>
      </c>
      <c r="F35">
        <v>270</v>
      </c>
      <c r="G35">
        <v>450</v>
      </c>
      <c r="H35">
        <v>640</v>
      </c>
      <c r="I35">
        <v>880</v>
      </c>
    </row>
    <row r="36" spans="1:9" x14ac:dyDescent="0.2">
      <c r="A36" t="s">
        <v>98</v>
      </c>
      <c r="B36">
        <v>20</v>
      </c>
      <c r="C36">
        <v>40</v>
      </c>
      <c r="D36">
        <v>100</v>
      </c>
      <c r="E36">
        <v>160</v>
      </c>
      <c r="F36">
        <v>230</v>
      </c>
      <c r="G36">
        <v>380</v>
      </c>
      <c r="H36">
        <v>550</v>
      </c>
      <c r="I36">
        <v>760</v>
      </c>
    </row>
    <row r="37" spans="1:9" x14ac:dyDescent="0.2">
      <c r="A37" t="s">
        <v>99</v>
      </c>
      <c r="B37">
        <v>15</v>
      </c>
      <c r="C37">
        <v>30</v>
      </c>
      <c r="D37">
        <v>80</v>
      </c>
      <c r="E37">
        <v>130</v>
      </c>
      <c r="F37">
        <v>190</v>
      </c>
      <c r="G37">
        <v>330</v>
      </c>
      <c r="H37">
        <v>480</v>
      </c>
      <c r="I37">
        <v>670</v>
      </c>
    </row>
    <row r="38" spans="1:9" x14ac:dyDescent="0.2">
      <c r="A38" t="s">
        <v>100</v>
      </c>
      <c r="D38">
        <v>65</v>
      </c>
      <c r="E38">
        <v>100</v>
      </c>
      <c r="F38">
        <v>150</v>
      </c>
      <c r="G38">
        <v>280</v>
      </c>
      <c r="H38">
        <v>430</v>
      </c>
      <c r="I38">
        <v>610</v>
      </c>
    </row>
    <row r="39" spans="1:9" x14ac:dyDescent="0.2">
      <c r="A39" t="s">
        <v>101</v>
      </c>
      <c r="D39">
        <v>50</v>
      </c>
      <c r="E39">
        <v>80</v>
      </c>
      <c r="F39">
        <v>120</v>
      </c>
      <c r="G39">
        <v>230</v>
      </c>
      <c r="H39">
        <v>380</v>
      </c>
      <c r="I39">
        <v>570</v>
      </c>
    </row>
  </sheetData>
  <phoneticPr fontId="2"/>
  <pageMargins left="0.75" right="0.75" top="1" bottom="1" header="0.51200000000000001" footer="0.51200000000000001"/>
</worksheet>
</file>

<file path=docMetadata/LabelInfo.xml><?xml version="1.0" encoding="utf-8"?>
<clbl:labelList xmlns:clbl="http://schemas.microsoft.com/office/2020/mipLabelMetadata">
  <clbl:label id="{84033c2b-00f7-40c7-8f48-15b44c4f841c}" enabled="1" method="Privileged" siteId="{615d96c1-231f-40d5-b2ef-46a3c20be1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幾何構造表</vt:lpstr>
      <vt:lpstr>使用値</vt:lpstr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（株）建設技術研究所</dc:creator>
  <cp:lastModifiedBy>本間 京介</cp:lastModifiedBy>
  <cp:lastPrinted>2008-08-04T09:33:06Z</cp:lastPrinted>
  <dcterms:created xsi:type="dcterms:W3CDTF">1999-01-26T04:09:43Z</dcterms:created>
  <dcterms:modified xsi:type="dcterms:W3CDTF">2025-11-25T02:16:05Z</dcterms:modified>
</cp:coreProperties>
</file>